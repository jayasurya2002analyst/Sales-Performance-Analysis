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40" yWindow="15" windowWidth="16095" windowHeight="9660" activeTab="1"/>
  </bookViews>
  <sheets>
    <sheet name="Sales_data" sheetId="1" r:id="rId1"/>
    <sheet name="calculation" sheetId="2" r:id="rId2"/>
    <sheet name="Sales_Dashboard" sheetId="5" r:id="rId3"/>
  </sheets>
  <definedNames>
    <definedName name="Slicer_Category">#N/A</definedName>
    <definedName name="Slicer_Region">#N/A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D3" i="5"/>
  <c r="H3" i="5"/>
  <c r="F3" i="5"/>
</calcChain>
</file>

<file path=xl/sharedStrings.xml><?xml version="1.0" encoding="utf-8"?>
<sst xmlns="http://schemas.openxmlformats.org/spreadsheetml/2006/main" count="144" uniqueCount="49">
  <si>
    <t>OrderID</t>
  </si>
  <si>
    <t>ProductName</t>
  </si>
  <si>
    <t>Category</t>
  </si>
  <si>
    <t>Region</t>
  </si>
  <si>
    <t>Quantity</t>
  </si>
  <si>
    <t>Sales</t>
  </si>
  <si>
    <t>Profit</t>
  </si>
  <si>
    <t>OrderDate</t>
  </si>
  <si>
    <t>Mouse</t>
  </si>
  <si>
    <t>Monitor</t>
  </si>
  <si>
    <t>Speaker</t>
  </si>
  <si>
    <t>Projector</t>
  </si>
  <si>
    <t>Desk</t>
  </si>
  <si>
    <t>Printer</t>
  </si>
  <si>
    <t>Headphones</t>
  </si>
  <si>
    <t>Smartwatch</t>
  </si>
  <si>
    <t>Tablet</t>
  </si>
  <si>
    <t>Keyboard</t>
  </si>
  <si>
    <t>Phone</t>
  </si>
  <si>
    <t>Chair</t>
  </si>
  <si>
    <t>Router</t>
  </si>
  <si>
    <t>Electronics</t>
  </si>
  <si>
    <t>Accessories</t>
  </si>
  <si>
    <t>Furniture</t>
  </si>
  <si>
    <t>North</t>
  </si>
  <si>
    <t>South</t>
  </si>
  <si>
    <t>West</t>
  </si>
  <si>
    <t>East</t>
  </si>
  <si>
    <t>profit%</t>
  </si>
  <si>
    <t>Sum of Sales</t>
  </si>
  <si>
    <t>Sum of Profit</t>
  </si>
  <si>
    <t>Sum of profit%</t>
  </si>
  <si>
    <t>Average of profit%</t>
  </si>
  <si>
    <t>Row Labels</t>
  </si>
  <si>
    <t>Grand Total</t>
  </si>
  <si>
    <t>Jan</t>
  </si>
  <si>
    <t>Feb</t>
  </si>
  <si>
    <t>Mar</t>
  </si>
  <si>
    <t>Apr</t>
  </si>
  <si>
    <t>May</t>
  </si>
  <si>
    <t>Jun</t>
  </si>
  <si>
    <t>Jul</t>
  </si>
  <si>
    <t>Column Labels</t>
  </si>
  <si>
    <t>Sales Performance Analysis</t>
  </si>
  <si>
    <t>Pivot 1 – Category Share</t>
  </si>
  <si>
    <t>Pivot 2 – Top Products</t>
  </si>
  <si>
    <t>Pivot 3 – Monthly Trend</t>
  </si>
  <si>
    <r>
      <t xml:space="preserve">Pivot 4: </t>
    </r>
    <r>
      <rPr>
        <b/>
        <sz val="11"/>
        <color theme="1"/>
        <rFont val="Calibri"/>
        <family val="2"/>
        <scheme val="minor"/>
      </rPr>
      <t>Region Profit%</t>
    </r>
  </si>
  <si>
    <t>ADD KPIs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</si>
</sst>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5" x14ac:knownFonts="1">
    <font>
      <sz val="11"/>
      <color theme="1"/>
      <name val="Calibri"/>
      <family val="2"/>
      <scheme val="minor"/>
    </font>
    <font>
      <b/>
      <sz val="11"/>
      <color theme="1"/>
      <name val="Calibri"/>
      <family val="2"/>
      <scheme val="minor"/>
    </font>
    <font>
      <b/>
      <sz val="11"/>
      <color theme="1"/>
      <name val="Calibri"/>
      <scheme val="minor"/>
    </font>
    <font>
      <b/>
      <sz val="20"/>
      <color theme="1"/>
      <name val="Franklin Gothic Medium"/>
      <family val="2"/>
    </font>
    <font>
      <b/>
      <sz val="72"/>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8"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7">
    <xf numFmtId="0" fontId="0" fillId="0" borderId="0" xfId="0"/>
    <xf numFmtId="0" fontId="0" fillId="0" borderId="1" xfId="0" applyBorder="1" applyAlignment="1">
      <alignment horizontal="center" vertical="center"/>
    </xf>
    <xf numFmtId="0" fontId="0" fillId="0" borderId="0" xfId="0"/>
    <xf numFmtId="0" fontId="0" fillId="0" borderId="0" xfId="0" applyAlignment="1">
      <alignment horizontal="left"/>
    </xf>
    <xf numFmtId="0" fontId="0" fillId="0" borderId="0" xfId="0" applyNumberFormat="1"/>
    <xf numFmtId="2" fontId="0" fillId="0" borderId="0" xfId="0" applyNumberFormat="1"/>
    <xf numFmtId="2" fontId="0" fillId="0" borderId="0" xfId="0" applyNumberFormat="1" applyBorder="1" applyAlignment="1">
      <alignment horizontal="center"/>
    </xf>
    <xf numFmtId="0" fontId="1" fillId="3" borderId="0" xfId="0" applyFont="1" applyFill="1" applyBorder="1" applyAlignment="1">
      <alignment horizontal="center" vertical="center"/>
    </xf>
    <xf numFmtId="14" fontId="0" fillId="0" borderId="2" xfId="0" applyNumberFormat="1" applyBorder="1" applyAlignment="1">
      <alignment horizontal="center" vertical="center"/>
    </xf>
    <xf numFmtId="0" fontId="0" fillId="0" borderId="3"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2" fontId="0" fillId="0" borderId="1" xfId="0" applyNumberFormat="1" applyBorder="1" applyAlignment="1">
      <alignment horizontal="center" vertical="center"/>
    </xf>
    <xf numFmtId="2" fontId="0" fillId="0" borderId="5" xfId="0" applyNumberFormat="1" applyBorder="1" applyAlignment="1">
      <alignment horizontal="center" vertical="center"/>
    </xf>
    <xf numFmtId="2" fontId="0" fillId="0" borderId="8" xfId="0" applyNumberFormat="1" applyBorder="1" applyAlignment="1">
      <alignment horizontal="center" vertical="center"/>
    </xf>
    <xf numFmtId="0" fontId="2" fillId="2" borderId="5" xfId="0" applyFont="1" applyFill="1" applyBorder="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Fill="1"/>
    <xf numFmtId="164" fontId="3" fillId="0" borderId="0" xfId="0" applyNumberFormat="1" applyFont="1" applyFill="1" applyAlignment="1">
      <alignment horizontal="center"/>
    </xf>
    <xf numFmtId="10" fontId="3" fillId="0" borderId="0" xfId="0" applyNumberFormat="1" applyFont="1" applyFill="1" applyAlignment="1">
      <alignment horizontal="center"/>
    </xf>
    <xf numFmtId="49" fontId="4" fillId="4" borderId="0" xfId="0" applyNumberFormat="1" applyFont="1" applyFill="1" applyAlignment="1">
      <alignment horizontal="center" vertical="center"/>
    </xf>
    <xf numFmtId="0" fontId="0" fillId="0" borderId="0" xfId="0"/>
  </cellXfs>
  <cellStyles count="1">
    <cellStyle name="Normal" xfId="0" builtinId="0"/>
  </cellStyles>
  <dxfs count="14">
    <dxf>
      <numFmt numFmtId="2"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9"/>
    </mc:Choice>
    <mc:Fallback>
      <c:style val="39"/>
    </mc:Fallback>
  </mc:AlternateContent>
  <c:pivotSource>
    <c:name>[day11 - miniproject -1.xlsx]calculation!PivotTable2</c:name>
    <c:fmtId val="2"/>
  </c:pivotSource>
  <c:chart>
    <c:title>
      <c:tx>
        <c:rich>
          <a:bodyPr/>
          <a:lstStyle/>
          <a:p>
            <a:pPr>
              <a:defRPr/>
            </a:pPr>
            <a:r>
              <a:rPr lang="en-US"/>
              <a:t>CATEGORY SHARE</a:t>
            </a:r>
          </a:p>
        </c:rich>
      </c:tx>
      <c:layout>
        <c:manualLayout>
          <c:xMode val="edge"/>
          <c:yMode val="edge"/>
          <c:x val="0.34969200565746972"/>
          <c:y val="3.276255707762557E-2"/>
        </c:manualLayout>
      </c:layout>
      <c:overlay val="0"/>
    </c:title>
    <c:autoTitleDeleted val="0"/>
    <c:pivotFmts>
      <c:pivotFmt>
        <c:idx val="0"/>
      </c:pivotFmt>
      <c:pivotFmt>
        <c:idx val="1"/>
      </c:pivotFmt>
      <c:pivotFmt>
        <c:idx val="2"/>
        <c:marker>
          <c:symbol val="none"/>
        </c:marker>
        <c:dLbl>
          <c:idx val="0"/>
          <c:layout/>
          <c:dLblPos val="bestFit"/>
          <c:showLegendKey val="0"/>
          <c:showVal val="1"/>
          <c:showCatName val="1"/>
          <c:showSerName val="0"/>
          <c:showPercent val="0"/>
          <c:showBubbleSize val="0"/>
        </c:dLbl>
      </c:pivotFmt>
      <c:pivotFmt>
        <c:idx val="3"/>
      </c:pivotFmt>
    </c:pivotFmts>
    <c:plotArea>
      <c:layout>
        <c:manualLayout>
          <c:layoutTarget val="inner"/>
          <c:xMode val="edge"/>
          <c:yMode val="edge"/>
          <c:x val="0.32925341408694037"/>
          <c:y val="0.21388736681887366"/>
          <c:w val="0.46104291984546919"/>
          <c:h val="0.71853767123287682"/>
        </c:manualLayout>
      </c:layout>
      <c:pieChart>
        <c:varyColors val="1"/>
        <c:ser>
          <c:idx val="0"/>
          <c:order val="0"/>
          <c:tx>
            <c:strRef>
              <c:f>calculation!$D$13</c:f>
              <c:strCache>
                <c:ptCount val="1"/>
                <c:pt idx="0">
                  <c:v>Total</c:v>
                </c:pt>
              </c:strCache>
            </c:strRef>
          </c:tx>
          <c:dLbls>
            <c:spPr/>
            <c:txPr>
              <a:bodyPr/>
              <a:lstStyle/>
              <a:p>
                <a:pPr>
                  <a:defRPr/>
                </a:pPr>
                <a:endParaRPr lang="en-US"/>
              </a:p>
            </c:txPr>
            <c:dLblPos val="bestFit"/>
            <c:showLegendKey val="0"/>
            <c:showVal val="1"/>
            <c:showCatName val="1"/>
            <c:showSerName val="0"/>
            <c:showPercent val="0"/>
            <c:showBubbleSize val="0"/>
            <c:showLeaderLines val="0"/>
          </c:dLbls>
          <c:cat>
            <c:strRef>
              <c:f>calculation!$C$14:$C$17</c:f>
              <c:strCache>
                <c:ptCount val="3"/>
                <c:pt idx="0">
                  <c:v>Accessories</c:v>
                </c:pt>
                <c:pt idx="1">
                  <c:v>Electronics</c:v>
                </c:pt>
                <c:pt idx="2">
                  <c:v>Furniture</c:v>
                </c:pt>
              </c:strCache>
            </c:strRef>
          </c:cat>
          <c:val>
            <c:numRef>
              <c:f>calculation!$D$14:$D$17</c:f>
              <c:numCache>
                <c:formatCode>General</c:formatCode>
                <c:ptCount val="3"/>
                <c:pt idx="0">
                  <c:v>319252</c:v>
                </c:pt>
                <c:pt idx="1">
                  <c:v>215955</c:v>
                </c:pt>
                <c:pt idx="2">
                  <c:v>347222</c:v>
                </c:pt>
              </c:numCache>
            </c:numRef>
          </c:val>
        </c:ser>
        <c:dLbls>
          <c:showLegendKey val="0"/>
          <c:showVal val="0"/>
          <c:showCatName val="0"/>
          <c:showSerName val="0"/>
          <c:showPercent val="0"/>
          <c:showBubbleSize val="0"/>
          <c:showLeaderLines val="0"/>
        </c:dLbls>
        <c:firstSliceAng val="202"/>
      </c:pie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9"/>
    </mc:Choice>
    <mc:Fallback>
      <c:style val="39"/>
    </mc:Fallback>
  </mc:AlternateContent>
  <c:pivotSource>
    <c:name>[day11 - miniproject -1.xlsx]calculation!PivotTable3</c:name>
    <c:fmtId val="2"/>
  </c:pivotSource>
  <c:chart>
    <c:title>
      <c:tx>
        <c:rich>
          <a:bodyPr/>
          <a:lstStyle/>
          <a:p>
            <a:pPr>
              <a:defRPr/>
            </a:pPr>
            <a:r>
              <a:rPr lang="en-IN"/>
              <a:t>Top 5 Products by Sales</a:t>
            </a:r>
          </a:p>
        </c:rich>
      </c:tx>
      <c:layout>
        <c:manualLayout>
          <c:xMode val="edge"/>
          <c:yMode val="edge"/>
          <c:x val="0.31443085606773286"/>
          <c:y val="2.7521559805024371E-2"/>
        </c:manualLayout>
      </c:layout>
      <c:overlay val="0"/>
    </c:title>
    <c:autoTitleDeleted val="0"/>
    <c:pivotFmts>
      <c:pivotFmt>
        <c:idx val="0"/>
      </c:pivotFmt>
      <c:pivotFmt>
        <c:idx val="1"/>
      </c:pivotFmt>
      <c:pivotFmt>
        <c:idx val="2"/>
      </c:pivotFmt>
      <c:pivotFmt>
        <c:idx val="3"/>
        <c:marker>
          <c:symbol val="none"/>
        </c:marker>
        <c:dLbl>
          <c:idx val="0"/>
          <c:layout/>
          <c:numFmt formatCode="&quot;₹&quot;\ #,##0.00" sourceLinked="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8.6915948770749846E-2"/>
          <c:y val="0.19189088863892012"/>
          <c:w val="0.89225694624484264"/>
          <c:h val="0.68510348706411694"/>
        </c:manualLayout>
      </c:layout>
      <c:barChart>
        <c:barDir val="col"/>
        <c:grouping val="clustered"/>
        <c:varyColors val="0"/>
        <c:ser>
          <c:idx val="0"/>
          <c:order val="0"/>
          <c:tx>
            <c:strRef>
              <c:f>calculation!$D$21</c:f>
              <c:strCache>
                <c:ptCount val="1"/>
                <c:pt idx="0">
                  <c:v>Total</c:v>
                </c:pt>
              </c:strCache>
            </c:strRef>
          </c:tx>
          <c:invertIfNegative val="0"/>
          <c:dLbls>
            <c:numFmt formatCode="&quot;₹&quot;\ #,##0.00" sourceLinked="0"/>
            <c:spPr/>
            <c:txPr>
              <a:bodyPr/>
              <a:lstStyle/>
              <a:p>
                <a:pPr>
                  <a:defRPr/>
                </a:pPr>
                <a:endParaRPr lang="en-US"/>
              </a:p>
            </c:txPr>
            <c:showLegendKey val="0"/>
            <c:showVal val="1"/>
            <c:showCatName val="0"/>
            <c:showSerName val="0"/>
            <c:showPercent val="0"/>
            <c:showBubbleSize val="0"/>
            <c:showLeaderLines val="0"/>
          </c:dLbls>
          <c:cat>
            <c:strRef>
              <c:f>calculation!$C$22:$C$27</c:f>
              <c:strCache>
                <c:ptCount val="5"/>
                <c:pt idx="0">
                  <c:v>Printer</c:v>
                </c:pt>
                <c:pt idx="1">
                  <c:v>Desk</c:v>
                </c:pt>
                <c:pt idx="2">
                  <c:v>Speaker</c:v>
                </c:pt>
                <c:pt idx="3">
                  <c:v>Chair</c:v>
                </c:pt>
                <c:pt idx="4">
                  <c:v>Headphones</c:v>
                </c:pt>
              </c:strCache>
            </c:strRef>
          </c:cat>
          <c:val>
            <c:numRef>
              <c:f>calculation!$D$22:$D$27</c:f>
              <c:numCache>
                <c:formatCode>General</c:formatCode>
                <c:ptCount val="5"/>
                <c:pt idx="0">
                  <c:v>162305</c:v>
                </c:pt>
                <c:pt idx="1">
                  <c:v>128205</c:v>
                </c:pt>
                <c:pt idx="2">
                  <c:v>91349</c:v>
                </c:pt>
                <c:pt idx="3">
                  <c:v>83348</c:v>
                </c:pt>
                <c:pt idx="4">
                  <c:v>82656</c:v>
                </c:pt>
              </c:numCache>
            </c:numRef>
          </c:val>
        </c:ser>
        <c:dLbls>
          <c:showLegendKey val="0"/>
          <c:showVal val="0"/>
          <c:showCatName val="0"/>
          <c:showSerName val="0"/>
          <c:showPercent val="0"/>
          <c:showBubbleSize val="0"/>
        </c:dLbls>
        <c:gapWidth val="150"/>
        <c:axId val="232044800"/>
        <c:axId val="232054784"/>
      </c:barChart>
      <c:catAx>
        <c:axId val="232044800"/>
        <c:scaling>
          <c:orientation val="minMax"/>
        </c:scaling>
        <c:delete val="0"/>
        <c:axPos val="b"/>
        <c:majorTickMark val="out"/>
        <c:minorTickMark val="none"/>
        <c:tickLblPos val="nextTo"/>
        <c:crossAx val="232054784"/>
        <c:crosses val="autoZero"/>
        <c:auto val="1"/>
        <c:lblAlgn val="ctr"/>
        <c:lblOffset val="100"/>
        <c:noMultiLvlLbl val="0"/>
      </c:catAx>
      <c:valAx>
        <c:axId val="232054784"/>
        <c:scaling>
          <c:orientation val="minMax"/>
        </c:scaling>
        <c:delete val="0"/>
        <c:axPos val="l"/>
        <c:majorGridlines>
          <c:spPr>
            <a:ln>
              <a:noFill/>
            </a:ln>
          </c:spPr>
        </c:majorGridlines>
        <c:numFmt formatCode="General" sourceLinked="1"/>
        <c:majorTickMark val="out"/>
        <c:minorTickMark val="none"/>
        <c:tickLblPos val="nextTo"/>
        <c:crossAx val="23204480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9"/>
    </mc:Choice>
    <mc:Fallback>
      <c:style val="39"/>
    </mc:Fallback>
  </mc:AlternateContent>
  <c:pivotSource>
    <c:name>[day11 - miniproject -1.xlsx]calculation!PivotTable4</c:name>
    <c:fmtId val="2"/>
  </c:pivotSource>
  <c:chart>
    <c:title>
      <c:tx>
        <c:rich>
          <a:bodyPr/>
          <a:lstStyle/>
          <a:p>
            <a:pPr>
              <a:defRPr/>
            </a:pPr>
            <a:r>
              <a:rPr lang="en-IN"/>
              <a:t>Monthly Sales Trend</a:t>
            </a:r>
            <a:endParaRPr lang="en-US"/>
          </a:p>
        </c:rich>
      </c:tx>
      <c:layout>
        <c:manualLayout>
          <c:xMode val="edge"/>
          <c:yMode val="edge"/>
          <c:x val="0.38596405494156277"/>
          <c:y val="3.1345356667645943E-2"/>
        </c:manualLayout>
      </c:layout>
      <c:overlay val="0"/>
    </c:title>
    <c:autoTitleDeleted val="0"/>
    <c:pivotFmts>
      <c:pivotFmt>
        <c:idx val="0"/>
      </c:pivotFmt>
      <c:pivotFmt>
        <c:idx val="1"/>
      </c:pivotFmt>
      <c:pivotFmt>
        <c:idx val="2"/>
        <c:dLbl>
          <c:idx val="0"/>
          <c:layout/>
          <c:dLblPos val="r"/>
          <c:showLegendKey val="0"/>
          <c:showVal val="1"/>
          <c:showCatName val="0"/>
          <c:showSerName val="0"/>
          <c:showPercent val="0"/>
          <c:showBubbleSize val="0"/>
        </c:dLbl>
      </c:pivotFmt>
      <c:pivotFmt>
        <c:idx val="3"/>
        <c:dLbl>
          <c:idx val="0"/>
          <c:layout>
            <c:manualLayout>
              <c:x val="-4.4843049327354258E-2"/>
              <c:y val="4.7315728023119653E-2"/>
            </c:manualLayout>
          </c:layout>
          <c:dLblPos val="r"/>
          <c:showLegendKey val="0"/>
          <c:showVal val="1"/>
          <c:showCatName val="0"/>
          <c:showSerName val="0"/>
          <c:showPercent val="0"/>
          <c:showBubbleSize val="0"/>
        </c:dLbl>
      </c:pivotFmt>
      <c:pivotFmt>
        <c:idx val="4"/>
        <c:dLbl>
          <c:idx val="0"/>
          <c:layout>
            <c:manualLayout>
              <c:x val="-2.6905829596412557E-2"/>
              <c:y val="-5.8234742182301173E-2"/>
            </c:manualLayout>
          </c:layout>
          <c:dLblPos val="r"/>
          <c:showLegendKey val="0"/>
          <c:showVal val="1"/>
          <c:showCatName val="0"/>
          <c:showSerName val="0"/>
          <c:showPercent val="0"/>
          <c:showBubbleSize val="0"/>
        </c:dLbl>
      </c:pivotFmt>
      <c:pivotFmt>
        <c:idx val="5"/>
        <c:dLbl>
          <c:idx val="0"/>
          <c:layout>
            <c:manualLayout>
              <c:x val="-5.3811659192825143E-2"/>
              <c:y val="-6.1874413568694928E-2"/>
            </c:manualLayout>
          </c:layout>
          <c:dLblPos val="r"/>
          <c:showLegendKey val="0"/>
          <c:showVal val="1"/>
          <c:showCatName val="0"/>
          <c:showSerName val="0"/>
          <c:showPercent val="0"/>
          <c:showBubbleSize val="0"/>
        </c:dLbl>
      </c:pivotFmt>
      <c:pivotFmt>
        <c:idx val="6"/>
        <c:dLbl>
          <c:idx val="0"/>
          <c:layout>
            <c:manualLayout>
              <c:x val="-5.3811659192825094E-2"/>
              <c:y val="6.1874413568694865E-2"/>
            </c:manualLayout>
          </c:layout>
          <c:dLblPos val="r"/>
          <c:showLegendKey val="0"/>
          <c:showVal val="1"/>
          <c:showCatName val="0"/>
          <c:showSerName val="0"/>
          <c:showPercent val="0"/>
          <c:showBubbleSize val="0"/>
        </c:dLbl>
      </c:pivotFmt>
      <c:pivotFmt>
        <c:idx val="7"/>
        <c:dLbl>
          <c:idx val="0"/>
          <c:layout>
            <c:manualLayout>
              <c:x val="-3.766816143497758E-2"/>
              <c:y val="7.2793427727876392E-2"/>
            </c:manualLayout>
          </c:layout>
          <c:dLblPos val="r"/>
          <c:showLegendKey val="0"/>
          <c:showVal val="1"/>
          <c:showCatName val="0"/>
          <c:showSerName val="0"/>
          <c:showPercent val="0"/>
          <c:showBubbleSize val="0"/>
        </c:dLbl>
      </c:pivotFmt>
    </c:pivotFmts>
    <c:plotArea>
      <c:layout>
        <c:manualLayout>
          <c:layoutTarget val="inner"/>
          <c:xMode val="edge"/>
          <c:yMode val="edge"/>
          <c:x val="8.6449913491755237E-2"/>
          <c:y val="0.1588667840150218"/>
          <c:w val="0.88290413474100493"/>
          <c:h val="0.68909308492243926"/>
        </c:manualLayout>
      </c:layout>
      <c:lineChart>
        <c:grouping val="standard"/>
        <c:varyColors val="0"/>
        <c:ser>
          <c:idx val="0"/>
          <c:order val="0"/>
          <c:tx>
            <c:strRef>
              <c:f>calculation!$I$7</c:f>
              <c:strCache>
                <c:ptCount val="1"/>
                <c:pt idx="0">
                  <c:v>Total</c:v>
                </c:pt>
              </c:strCache>
            </c:strRef>
          </c:tx>
          <c:dLbls>
            <c:dLbl>
              <c:idx val="0"/>
              <c:layout>
                <c:manualLayout>
                  <c:x val="-5.3811659192825094E-2"/>
                  <c:y val="6.1874413568694865E-2"/>
                </c:manualLayout>
              </c:layout>
              <c:dLblPos val="r"/>
              <c:showLegendKey val="0"/>
              <c:showVal val="1"/>
              <c:showCatName val="0"/>
              <c:showSerName val="0"/>
              <c:showPercent val="0"/>
              <c:showBubbleSize val="0"/>
            </c:dLbl>
            <c:dLbl>
              <c:idx val="1"/>
              <c:layout>
                <c:manualLayout>
                  <c:x val="-5.3811659192825143E-2"/>
                  <c:y val="-6.1874413568694928E-2"/>
                </c:manualLayout>
              </c:layout>
              <c:dLblPos val="r"/>
              <c:showLegendKey val="0"/>
              <c:showVal val="1"/>
              <c:showCatName val="0"/>
              <c:showSerName val="0"/>
              <c:showPercent val="0"/>
              <c:showBubbleSize val="0"/>
            </c:dLbl>
            <c:dLbl>
              <c:idx val="2"/>
              <c:layout>
                <c:manualLayout>
                  <c:x val="-3.766816143497758E-2"/>
                  <c:y val="7.2793427727876392E-2"/>
                </c:manualLayout>
              </c:layout>
              <c:dLblPos val="r"/>
              <c:showLegendKey val="0"/>
              <c:showVal val="1"/>
              <c:showCatName val="0"/>
              <c:showSerName val="0"/>
              <c:showPercent val="0"/>
              <c:showBubbleSize val="0"/>
            </c:dLbl>
            <c:dLbl>
              <c:idx val="5"/>
              <c:layout>
                <c:manualLayout>
                  <c:x val="-4.4843049327354258E-2"/>
                  <c:y val="4.7315728023119653E-2"/>
                </c:manualLayout>
              </c:layout>
              <c:dLblPos val="r"/>
              <c:showLegendKey val="0"/>
              <c:showVal val="1"/>
              <c:showCatName val="0"/>
              <c:showSerName val="0"/>
              <c:showPercent val="0"/>
              <c:showBubbleSize val="0"/>
            </c:dLbl>
            <c:dLbl>
              <c:idx val="6"/>
              <c:layout>
                <c:manualLayout>
                  <c:x val="-2.6905829596412557E-2"/>
                  <c:y val="-5.8234742182301173E-2"/>
                </c:manualLayout>
              </c:layout>
              <c:dLblPos val="r"/>
              <c:showLegendKey val="0"/>
              <c:showVal val="1"/>
              <c:showCatName val="0"/>
              <c:showSerName val="0"/>
              <c:showPercent val="0"/>
              <c:showBubbleSize val="0"/>
            </c:dLbl>
            <c:spPr/>
            <c:txPr>
              <a:bodyPr/>
              <a:lstStyle/>
              <a:p>
                <a:pPr>
                  <a:defRPr/>
                </a:pPr>
                <a:endParaRPr lang="en-US"/>
              </a:p>
            </c:txPr>
            <c:dLblPos val="r"/>
            <c:showLegendKey val="0"/>
            <c:showVal val="1"/>
            <c:showCatName val="0"/>
            <c:showSerName val="0"/>
            <c:showPercent val="0"/>
            <c:showBubbleSize val="0"/>
            <c:showLeaderLines val="0"/>
          </c:dLbls>
          <c:cat>
            <c:strRef>
              <c:f>calculation!$H$8:$H$15</c:f>
              <c:strCache>
                <c:ptCount val="7"/>
                <c:pt idx="0">
                  <c:v>Jan</c:v>
                </c:pt>
                <c:pt idx="1">
                  <c:v>Feb</c:v>
                </c:pt>
                <c:pt idx="2">
                  <c:v>Mar</c:v>
                </c:pt>
                <c:pt idx="3">
                  <c:v>Apr</c:v>
                </c:pt>
                <c:pt idx="4">
                  <c:v>May</c:v>
                </c:pt>
                <c:pt idx="5">
                  <c:v>Jun</c:v>
                </c:pt>
                <c:pt idx="6">
                  <c:v>Jul</c:v>
                </c:pt>
              </c:strCache>
            </c:strRef>
          </c:cat>
          <c:val>
            <c:numRef>
              <c:f>calculation!$I$8:$I$15</c:f>
              <c:numCache>
                <c:formatCode>General</c:formatCode>
                <c:ptCount val="7"/>
                <c:pt idx="0">
                  <c:v>105172</c:v>
                </c:pt>
                <c:pt idx="1">
                  <c:v>119315</c:v>
                </c:pt>
                <c:pt idx="2">
                  <c:v>128027</c:v>
                </c:pt>
                <c:pt idx="3">
                  <c:v>151907</c:v>
                </c:pt>
                <c:pt idx="4">
                  <c:v>179110</c:v>
                </c:pt>
                <c:pt idx="5">
                  <c:v>95809</c:v>
                </c:pt>
                <c:pt idx="6">
                  <c:v>103089</c:v>
                </c:pt>
              </c:numCache>
            </c:numRef>
          </c:val>
          <c:smooth val="0"/>
        </c:ser>
        <c:dLbls>
          <c:showLegendKey val="0"/>
          <c:showVal val="0"/>
          <c:showCatName val="0"/>
          <c:showSerName val="0"/>
          <c:showPercent val="0"/>
          <c:showBubbleSize val="0"/>
        </c:dLbls>
        <c:marker val="1"/>
        <c:smooth val="0"/>
        <c:axId val="231956480"/>
        <c:axId val="231958016"/>
      </c:lineChart>
      <c:catAx>
        <c:axId val="231956480"/>
        <c:scaling>
          <c:orientation val="minMax"/>
        </c:scaling>
        <c:delete val="0"/>
        <c:axPos val="b"/>
        <c:majorTickMark val="out"/>
        <c:minorTickMark val="none"/>
        <c:tickLblPos val="nextTo"/>
        <c:crossAx val="231958016"/>
        <c:crosses val="autoZero"/>
        <c:auto val="1"/>
        <c:lblAlgn val="ctr"/>
        <c:lblOffset val="100"/>
        <c:noMultiLvlLbl val="0"/>
      </c:catAx>
      <c:valAx>
        <c:axId val="231958016"/>
        <c:scaling>
          <c:orientation val="minMax"/>
        </c:scaling>
        <c:delete val="0"/>
        <c:axPos val="l"/>
        <c:majorGridlines>
          <c:spPr>
            <a:ln>
              <a:noFill/>
            </a:ln>
          </c:spPr>
        </c:majorGridlines>
        <c:numFmt formatCode="General" sourceLinked="1"/>
        <c:majorTickMark val="out"/>
        <c:minorTickMark val="none"/>
        <c:tickLblPos val="nextTo"/>
        <c:crossAx val="231956480"/>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9"/>
    </mc:Choice>
    <mc:Fallback>
      <c:style val="39"/>
    </mc:Fallback>
  </mc:AlternateContent>
  <c:pivotSource>
    <c:name>[day11 - miniproject -1.xlsx]calculation!PivotTable5</c:name>
    <c:fmtId val="2"/>
  </c:pivotSource>
  <c:chart>
    <c:autoTitleDeleted val="0"/>
    <c:pivotFmts>
      <c:pivotFmt>
        <c:idx val="0"/>
      </c:pivotFmt>
      <c:pivotFmt>
        <c:idx val="1"/>
      </c:pivotFmt>
      <c:pivotFmt>
        <c:idx val="2"/>
      </c:pivotFmt>
      <c:pivotFmt>
        <c:idx val="3"/>
      </c:pivotFmt>
      <c:pivotFmt>
        <c:idx val="4"/>
      </c:pivotFmt>
      <c:pivotFmt>
        <c:idx val="5"/>
      </c:pivotFmt>
      <c:pivotFmt>
        <c:idx val="6"/>
        <c:marker>
          <c:symbol val="none"/>
        </c:marker>
        <c:dLbl>
          <c:idx val="0"/>
          <c:layout/>
          <c:showLegendKey val="0"/>
          <c:showVal val="1"/>
          <c:showCatName val="0"/>
          <c:showSerName val="0"/>
          <c:showPercent val="0"/>
          <c:showBubbleSize val="0"/>
        </c:dLbl>
      </c:pivotFmt>
      <c:pivotFmt>
        <c:idx val="7"/>
        <c:marker>
          <c:symbol val="none"/>
        </c:marker>
        <c:dLbl>
          <c:idx val="0"/>
          <c:layout/>
          <c:showLegendKey val="0"/>
          <c:showVal val="1"/>
          <c:showCatName val="0"/>
          <c:showSerName val="0"/>
          <c:showPercent val="0"/>
          <c:showBubbleSize val="0"/>
        </c:dLbl>
      </c:pivotFmt>
      <c:pivotFmt>
        <c:idx val="8"/>
        <c:marker>
          <c:symbol val="none"/>
        </c:marker>
        <c:dLbl>
          <c:idx val="0"/>
          <c:layout/>
          <c:showLegendKey val="0"/>
          <c:showVal val="1"/>
          <c:showCatName val="0"/>
          <c:showSerName val="0"/>
          <c:showPercent val="0"/>
          <c:showBubbleSize val="0"/>
        </c:dLbl>
      </c:pivotFmt>
      <c:pivotFmt>
        <c:idx val="9"/>
      </c:pivotFmt>
    </c:pivotFmts>
    <c:plotArea>
      <c:layout>
        <c:manualLayout>
          <c:layoutTarget val="inner"/>
          <c:xMode val="edge"/>
          <c:yMode val="edge"/>
          <c:x val="0.12011763401275856"/>
          <c:y val="0.17311804146752402"/>
          <c:w val="0.84759989692487236"/>
          <c:h val="0.74208768008802395"/>
        </c:manualLayout>
      </c:layout>
      <c:barChart>
        <c:barDir val="col"/>
        <c:grouping val="stacked"/>
        <c:varyColors val="0"/>
        <c:ser>
          <c:idx val="0"/>
          <c:order val="0"/>
          <c:tx>
            <c:strRef>
              <c:f>calculation!$I$21:$I$22</c:f>
              <c:strCache>
                <c:ptCount val="1"/>
                <c:pt idx="0">
                  <c:v>Accessories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calculation!$H$23:$H$27</c:f>
              <c:strCache>
                <c:ptCount val="4"/>
                <c:pt idx="0">
                  <c:v>East</c:v>
                </c:pt>
                <c:pt idx="1">
                  <c:v>North</c:v>
                </c:pt>
                <c:pt idx="2">
                  <c:v>South</c:v>
                </c:pt>
                <c:pt idx="3">
                  <c:v>West</c:v>
                </c:pt>
              </c:strCache>
            </c:strRef>
          </c:cat>
          <c:val>
            <c:numRef>
              <c:f>calculation!$I$23:$I$27</c:f>
              <c:numCache>
                <c:formatCode>General</c:formatCode>
                <c:ptCount val="4"/>
                <c:pt idx="0">
                  <c:v>0.22609453125652212</c:v>
                </c:pt>
                <c:pt idx="1">
                  <c:v>0.15532981175758112</c:v>
                </c:pt>
                <c:pt idx="2">
                  <c:v>2.2622775007897697</c:v>
                </c:pt>
                <c:pt idx="3">
                  <c:v>0.57616671504094275</c:v>
                </c:pt>
              </c:numCache>
            </c:numRef>
          </c:val>
        </c:ser>
        <c:ser>
          <c:idx val="1"/>
          <c:order val="1"/>
          <c:tx>
            <c:strRef>
              <c:f>calculation!$J$21:$J$22</c:f>
              <c:strCache>
                <c:ptCount val="1"/>
                <c:pt idx="0">
                  <c:v>Electronics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calculation!$H$23:$H$27</c:f>
              <c:strCache>
                <c:ptCount val="4"/>
                <c:pt idx="0">
                  <c:v>East</c:v>
                </c:pt>
                <c:pt idx="1">
                  <c:v>North</c:v>
                </c:pt>
                <c:pt idx="2">
                  <c:v>South</c:v>
                </c:pt>
                <c:pt idx="3">
                  <c:v>West</c:v>
                </c:pt>
              </c:strCache>
            </c:strRef>
          </c:cat>
          <c:val>
            <c:numRef>
              <c:f>calculation!$J$23:$J$27</c:f>
              <c:numCache>
                <c:formatCode>General</c:formatCode>
                <c:ptCount val="4"/>
                <c:pt idx="1">
                  <c:v>1.2252739433613207</c:v>
                </c:pt>
                <c:pt idx="2">
                  <c:v>1.1931402967606517</c:v>
                </c:pt>
                <c:pt idx="3">
                  <c:v>0.45264676566587281</c:v>
                </c:pt>
              </c:numCache>
            </c:numRef>
          </c:val>
        </c:ser>
        <c:ser>
          <c:idx val="2"/>
          <c:order val="2"/>
          <c:tx>
            <c:strRef>
              <c:f>calculation!$K$21:$K$22</c:f>
              <c:strCache>
                <c:ptCount val="1"/>
                <c:pt idx="0">
                  <c:v>Furniture</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calculation!$H$23:$H$27</c:f>
              <c:strCache>
                <c:ptCount val="4"/>
                <c:pt idx="0">
                  <c:v>East</c:v>
                </c:pt>
                <c:pt idx="1">
                  <c:v>North</c:v>
                </c:pt>
                <c:pt idx="2">
                  <c:v>South</c:v>
                </c:pt>
                <c:pt idx="3">
                  <c:v>West</c:v>
                </c:pt>
              </c:strCache>
            </c:strRef>
          </c:cat>
          <c:val>
            <c:numRef>
              <c:f>calculation!$K$23:$K$27</c:f>
              <c:numCache>
                <c:formatCode>General</c:formatCode>
                <c:ptCount val="4"/>
                <c:pt idx="0">
                  <c:v>0.75881797978853083</c:v>
                </c:pt>
                <c:pt idx="1">
                  <c:v>0.23061514966666233</c:v>
                </c:pt>
                <c:pt idx="2">
                  <c:v>0.68865518243832313</c:v>
                </c:pt>
                <c:pt idx="3">
                  <c:v>0.80087582953734837</c:v>
                </c:pt>
              </c:numCache>
            </c:numRef>
          </c:val>
        </c:ser>
        <c:dLbls>
          <c:showLegendKey val="0"/>
          <c:showVal val="0"/>
          <c:showCatName val="0"/>
          <c:showSerName val="0"/>
          <c:showPercent val="0"/>
          <c:showBubbleSize val="0"/>
        </c:dLbls>
        <c:gapWidth val="150"/>
        <c:overlap val="100"/>
        <c:axId val="232337792"/>
        <c:axId val="232339328"/>
      </c:barChart>
      <c:catAx>
        <c:axId val="232337792"/>
        <c:scaling>
          <c:orientation val="minMax"/>
        </c:scaling>
        <c:delete val="0"/>
        <c:axPos val="b"/>
        <c:majorTickMark val="out"/>
        <c:minorTickMark val="none"/>
        <c:tickLblPos val="nextTo"/>
        <c:crossAx val="232339328"/>
        <c:crosses val="autoZero"/>
        <c:auto val="1"/>
        <c:lblAlgn val="ctr"/>
        <c:lblOffset val="100"/>
        <c:noMultiLvlLbl val="0"/>
      </c:catAx>
      <c:valAx>
        <c:axId val="232339328"/>
        <c:scaling>
          <c:orientation val="minMax"/>
        </c:scaling>
        <c:delete val="0"/>
        <c:axPos val="l"/>
        <c:majorGridlines>
          <c:spPr>
            <a:ln>
              <a:noFill/>
            </a:ln>
          </c:spPr>
        </c:majorGridlines>
        <c:numFmt formatCode="General" sourceLinked="1"/>
        <c:majorTickMark val="out"/>
        <c:minorTickMark val="none"/>
        <c:tickLblPos val="nextTo"/>
        <c:crossAx val="23233779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85725</xdr:colOff>
      <xdr:row>2</xdr:row>
      <xdr:rowOff>76200</xdr:rowOff>
    </xdr:from>
    <xdr:to>
      <xdr:col>3</xdr:col>
      <xdr:colOff>1962149</xdr:colOff>
      <xdr:row>2</xdr:row>
      <xdr:rowOff>457200</xdr:rowOff>
    </xdr:to>
    <xdr:sp macro="" textlink="">
      <xdr:nvSpPr>
        <xdr:cNvPr id="5" name="Rectangle 4"/>
        <xdr:cNvSpPr/>
      </xdr:nvSpPr>
      <xdr:spPr>
        <a:xfrm>
          <a:off x="590550" y="457200"/>
          <a:ext cx="1876424" cy="381000"/>
        </a:xfrm>
        <a:prstGeom prst="rect">
          <a:avLst/>
        </a:prstGeom>
        <a:solidFill>
          <a:schemeClr val="accent5"/>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b="1">
              <a:latin typeface="Cambria Math" panose="02040503050406030204" pitchFamily="18" charset="0"/>
              <a:ea typeface="Cambria Math" panose="02040503050406030204" pitchFamily="18" charset="0"/>
            </a:rPr>
            <a:t>  TOTAL</a:t>
          </a:r>
          <a:r>
            <a:rPr lang="en-IN" sz="2000" b="1" baseline="0">
              <a:latin typeface="Cambria Math" panose="02040503050406030204" pitchFamily="18" charset="0"/>
              <a:ea typeface="Cambria Math" panose="02040503050406030204" pitchFamily="18" charset="0"/>
            </a:rPr>
            <a:t>_SALES </a:t>
          </a:r>
          <a:r>
            <a:rPr lang="en-IN" sz="2000" baseline="0">
              <a:latin typeface="Cambria Math" panose="02040503050406030204" pitchFamily="18" charset="0"/>
              <a:ea typeface="Cambria Math" panose="02040503050406030204" pitchFamily="18" charset="0"/>
            </a:rPr>
            <a:t> </a:t>
          </a:r>
          <a:endParaRPr lang="en-IN" sz="1400">
            <a:latin typeface="Cambria Math" panose="02040503050406030204" pitchFamily="18" charset="0"/>
            <a:ea typeface="Cambria Math" panose="02040503050406030204" pitchFamily="18" charset="0"/>
          </a:endParaRPr>
        </a:p>
      </xdr:txBody>
    </xdr:sp>
    <xdr:clientData/>
  </xdr:twoCellAnchor>
  <xdr:twoCellAnchor>
    <xdr:from>
      <xdr:col>5</xdr:col>
      <xdr:colOff>28574</xdr:colOff>
      <xdr:row>2</xdr:row>
      <xdr:rowOff>66676</xdr:rowOff>
    </xdr:from>
    <xdr:to>
      <xdr:col>5</xdr:col>
      <xdr:colOff>2238375</xdr:colOff>
      <xdr:row>2</xdr:row>
      <xdr:rowOff>504825</xdr:rowOff>
    </xdr:to>
    <xdr:sp macro="" textlink="">
      <xdr:nvSpPr>
        <xdr:cNvPr id="6" name="Rectangle 5"/>
        <xdr:cNvSpPr/>
      </xdr:nvSpPr>
      <xdr:spPr>
        <a:xfrm>
          <a:off x="5160168" y="447676"/>
          <a:ext cx="2209801" cy="438149"/>
        </a:xfrm>
        <a:prstGeom prst="rect">
          <a:avLst/>
        </a:prstGeom>
        <a:solidFill>
          <a:schemeClr val="accent5"/>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b="1">
              <a:latin typeface="Cambria Math" panose="02040503050406030204" pitchFamily="18" charset="0"/>
              <a:ea typeface="Cambria Math" panose="02040503050406030204" pitchFamily="18" charset="0"/>
            </a:rPr>
            <a:t>   TOTAL_PROFIT</a:t>
          </a:r>
        </a:p>
      </xdr:txBody>
    </xdr:sp>
    <xdr:clientData/>
  </xdr:twoCellAnchor>
  <xdr:twoCellAnchor>
    <xdr:from>
      <xdr:col>7</xdr:col>
      <xdr:colOff>71437</xdr:colOff>
      <xdr:row>2</xdr:row>
      <xdr:rowOff>76200</xdr:rowOff>
    </xdr:from>
    <xdr:to>
      <xdr:col>7</xdr:col>
      <xdr:colOff>2012156</xdr:colOff>
      <xdr:row>2</xdr:row>
      <xdr:rowOff>438150</xdr:rowOff>
    </xdr:to>
    <xdr:sp macro="" textlink="">
      <xdr:nvSpPr>
        <xdr:cNvPr id="7" name="Rectangle 6"/>
        <xdr:cNvSpPr/>
      </xdr:nvSpPr>
      <xdr:spPr>
        <a:xfrm>
          <a:off x="9227343" y="457200"/>
          <a:ext cx="1940719" cy="361950"/>
        </a:xfrm>
        <a:prstGeom prst="rect">
          <a:avLst/>
        </a:prstGeom>
        <a:solidFill>
          <a:schemeClr val="accent5"/>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b="1"/>
            <a:t>   </a:t>
          </a:r>
          <a:r>
            <a:rPr lang="en-IN" sz="2000" b="1">
              <a:latin typeface="Cambria Math" panose="02040503050406030204" pitchFamily="18" charset="0"/>
              <a:ea typeface="Cambria Math" panose="02040503050406030204" pitchFamily="18" charset="0"/>
            </a:rPr>
            <a:t>AVG_PROFIT </a:t>
          </a:r>
        </a:p>
      </xdr:txBody>
    </xdr:sp>
    <xdr:clientData/>
  </xdr:twoCellAnchor>
  <xdr:twoCellAnchor>
    <xdr:from>
      <xdr:col>2</xdr:col>
      <xdr:colOff>857249</xdr:colOff>
      <xdr:row>3</xdr:row>
      <xdr:rowOff>174625</xdr:rowOff>
    </xdr:from>
    <xdr:to>
      <xdr:col>4</xdr:col>
      <xdr:colOff>476250</xdr:colOff>
      <xdr:row>17</xdr:row>
      <xdr:rowOff>135625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3</xdr:row>
      <xdr:rowOff>174625</xdr:rowOff>
    </xdr:from>
    <xdr:to>
      <xdr:col>10</xdr:col>
      <xdr:colOff>66675</xdr:colOff>
      <xdr:row>17</xdr:row>
      <xdr:rowOff>174625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635000</xdr:colOff>
      <xdr:row>18</xdr:row>
      <xdr:rowOff>3174</xdr:rowOff>
    </xdr:from>
    <xdr:to>
      <xdr:col>5</xdr:col>
      <xdr:colOff>2286000</xdr:colOff>
      <xdr:row>36</xdr:row>
      <xdr:rowOff>142875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230185</xdr:colOff>
      <xdr:row>17</xdr:row>
      <xdr:rowOff>79374</xdr:rowOff>
    </xdr:from>
    <xdr:to>
      <xdr:col>15</xdr:col>
      <xdr:colOff>15874</xdr:colOff>
      <xdr:row>36</xdr:row>
      <xdr:rowOff>174624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114299</xdr:colOff>
      <xdr:row>2</xdr:row>
      <xdr:rowOff>822326</xdr:rowOff>
    </xdr:from>
    <xdr:to>
      <xdr:col>14</xdr:col>
      <xdr:colOff>123824</xdr:colOff>
      <xdr:row>9</xdr:row>
      <xdr:rowOff>32544</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69924" y="2044701"/>
              <a:ext cx="1819275" cy="117871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10</xdr:row>
      <xdr:rowOff>7144</xdr:rowOff>
    </xdr:from>
    <xdr:to>
      <xdr:col>14</xdr:col>
      <xdr:colOff>121443</xdr:colOff>
      <xdr:row>17</xdr:row>
      <xdr:rowOff>126207</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69925" y="3388519"/>
              <a:ext cx="1816893" cy="145256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0.37957</cdr:x>
      <cdr:y>0.0303</cdr:y>
    </cdr:from>
    <cdr:to>
      <cdr:x>0.69987</cdr:x>
      <cdr:y>0.18687</cdr:y>
    </cdr:to>
    <cdr:sp macro="" textlink="">
      <cdr:nvSpPr>
        <cdr:cNvPr id="3" name="TextBox 2"/>
        <cdr:cNvSpPr txBox="1"/>
      </cdr:nvSpPr>
      <cdr:spPr>
        <a:xfrm xmlns:a="http://schemas.openxmlformats.org/drawingml/2006/main">
          <a:off x="2389188" y="95250"/>
          <a:ext cx="2016126" cy="4921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i="0">
              <a:latin typeface="Cambria Math" panose="02040503050406030204" pitchFamily="18" charset="0"/>
              <a:ea typeface="Cambria Math" panose="02040503050406030204" pitchFamily="18" charset="0"/>
            </a:rPr>
            <a:t>Region Profit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71.56809872685" createdVersion="4" refreshedVersion="4" minRefreshableVersion="3" recordCount="30">
  <cacheSource type="worksheet">
    <worksheetSource name="SalesTbI"/>
  </cacheSource>
  <cacheFields count="9">
    <cacheField name="OrderID" numFmtId="0">
      <sharedItems containsSemiMixedTypes="0" containsString="0" containsNumber="1" containsInteger="1" minValue="1" maxValue="30"/>
    </cacheField>
    <cacheField name="ProductName" numFmtId="0">
      <sharedItems count="13">
        <s v="Mouse"/>
        <s v="Monitor"/>
        <s v="Speaker"/>
        <s v="Projector"/>
        <s v="Desk"/>
        <s v="Printer"/>
        <s v="Headphones"/>
        <s v="Smartwatch"/>
        <s v="Tablet"/>
        <s v="Keyboard"/>
        <s v="Phone"/>
        <s v="Chair"/>
        <s v="Router"/>
      </sharedItems>
    </cacheField>
    <cacheField name="Category" numFmtId="0">
      <sharedItems count="3">
        <s v="Electronics"/>
        <s v="Accessories"/>
        <s v="Furniture"/>
      </sharedItems>
    </cacheField>
    <cacheField name="Region" numFmtId="0">
      <sharedItems count="4">
        <s v="North"/>
        <s v="South"/>
        <s v="West"/>
        <s v="East"/>
      </sharedItems>
    </cacheField>
    <cacheField name="Quantity" numFmtId="0">
      <sharedItems containsSemiMixedTypes="0" containsString="0" containsNumber="1" containsInteger="1" minValue="2" maxValue="14"/>
    </cacheField>
    <cacheField name="Sales" numFmtId="0">
      <sharedItems containsSemiMixedTypes="0" containsString="0" containsNumber="1" containsInteger="1" minValue="7027" maxValue="57256"/>
    </cacheField>
    <cacheField name="Profit" numFmtId="0">
      <sharedItems containsSemiMixedTypes="0" containsString="0" containsNumber="1" containsInteger="1" minValue="706" maxValue="11382"/>
    </cacheField>
    <cacheField name="OrderDate" numFmtId="14">
      <sharedItems containsSemiMixedTypes="0" containsNonDate="0" containsDate="1" containsString="0" minDate="2023-01-01T00:00:00" maxDate="2023-07-24T00:00:00" count="30">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sharedItems>
      <fieldGroup base="7">
        <rangePr groupBy="months" startDate="2023-01-01T00:00:00" endDate="2023-07-24T00:00:00"/>
        <groupItems count="14">
          <s v="&lt;01-01-2023"/>
          <s v="Jan"/>
          <s v="Feb"/>
          <s v="Mar"/>
          <s v="Apr"/>
          <s v="May"/>
          <s v="Jun"/>
          <s v="Jul"/>
          <s v="Aug"/>
          <s v="Sep"/>
          <s v="Oct"/>
          <s v="Nov"/>
          <s v="Dec"/>
          <s v="&gt;24-07-2023"/>
        </groupItems>
      </fieldGroup>
    </cacheField>
    <cacheField name="profit%" numFmtId="2">
      <sharedItems containsSemiMixedTypes="0" containsString="0" containsNumber="1" minValue="2.2514830127628976E-2" maxValue="1.479142300194931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n v="1"/>
    <x v="0"/>
    <x v="0"/>
    <x v="0"/>
    <n v="11"/>
    <n v="7027"/>
    <n v="8610"/>
    <x v="0"/>
    <n v="1.2252739433613207"/>
  </r>
  <r>
    <n v="2"/>
    <x v="1"/>
    <x v="1"/>
    <x v="1"/>
    <n v="13"/>
    <n v="7695"/>
    <n v="11382"/>
    <x v="1"/>
    <n v="1.4791423001949318"/>
  </r>
  <r>
    <n v="3"/>
    <x v="2"/>
    <x v="1"/>
    <x v="0"/>
    <n v="3"/>
    <n v="53190"/>
    <n v="4340"/>
    <x v="2"/>
    <n v="8.1594284639969913E-2"/>
  </r>
  <r>
    <n v="4"/>
    <x v="3"/>
    <x v="0"/>
    <x v="1"/>
    <n v="11"/>
    <n v="10258"/>
    <n v="1528"/>
    <x v="3"/>
    <n v="0.1489569116786898"/>
  </r>
  <r>
    <n v="5"/>
    <x v="4"/>
    <x v="0"/>
    <x v="2"/>
    <n v="5"/>
    <n v="27002"/>
    <n v="7885"/>
    <x v="4"/>
    <n v="0.29201540626620248"/>
  </r>
  <r>
    <n v="6"/>
    <x v="5"/>
    <x v="0"/>
    <x v="2"/>
    <n v="9"/>
    <n v="44504"/>
    <n v="1002"/>
    <x v="5"/>
    <n v="2.2514830127628976E-2"/>
  </r>
  <r>
    <n v="7"/>
    <x v="2"/>
    <x v="2"/>
    <x v="3"/>
    <n v="8"/>
    <n v="38159"/>
    <n v="7410"/>
    <x v="6"/>
    <n v="0.19418747870751329"/>
  </r>
  <r>
    <n v="8"/>
    <x v="6"/>
    <x v="2"/>
    <x v="2"/>
    <n v="13"/>
    <n v="18986"/>
    <n v="9562"/>
    <x v="7"/>
    <n v="0.50363425682081531"/>
  </r>
  <r>
    <n v="9"/>
    <x v="0"/>
    <x v="2"/>
    <x v="3"/>
    <n v="10"/>
    <n v="17666"/>
    <n v="7438"/>
    <x v="8"/>
    <n v="0.42103475602852936"/>
  </r>
  <r>
    <n v="10"/>
    <x v="7"/>
    <x v="1"/>
    <x v="2"/>
    <n v="9"/>
    <n v="43660"/>
    <n v="4988"/>
    <x v="9"/>
    <n v="0.11424644983967018"/>
  </r>
  <r>
    <n v="11"/>
    <x v="8"/>
    <x v="2"/>
    <x v="0"/>
    <n v="6"/>
    <n v="8561"/>
    <n v="706"/>
    <x v="10"/>
    <n v="8.2467001518514188E-2"/>
  </r>
  <r>
    <n v="12"/>
    <x v="0"/>
    <x v="1"/>
    <x v="2"/>
    <n v="14"/>
    <n v="31854"/>
    <n v="5634"/>
    <x v="11"/>
    <n v="0.1768694669429271"/>
  </r>
  <r>
    <n v="13"/>
    <x v="4"/>
    <x v="1"/>
    <x v="3"/>
    <n v="3"/>
    <n v="43952"/>
    <n v="6477"/>
    <x v="12"/>
    <n v="0.14736530760829997"/>
  </r>
  <r>
    <n v="14"/>
    <x v="4"/>
    <x v="2"/>
    <x v="3"/>
    <n v="6"/>
    <n v="57251"/>
    <n v="8221"/>
    <x v="13"/>
    <n v="0.14359574505248818"/>
  </r>
  <r>
    <n v="15"/>
    <x v="5"/>
    <x v="1"/>
    <x v="1"/>
    <n v="9"/>
    <n v="27662"/>
    <n v="7535"/>
    <x v="14"/>
    <n v="0.2723953437929289"/>
  </r>
  <r>
    <n v="16"/>
    <x v="6"/>
    <x v="2"/>
    <x v="0"/>
    <n v="11"/>
    <n v="13392"/>
    <n v="1984"/>
    <x v="15"/>
    <n v="0.14814814814814814"/>
  </r>
  <r>
    <n v="17"/>
    <x v="1"/>
    <x v="2"/>
    <x v="2"/>
    <n v="10"/>
    <n v="35535"/>
    <n v="8358"/>
    <x v="16"/>
    <n v="0.23520472773322076"/>
  </r>
  <r>
    <n v="18"/>
    <x v="5"/>
    <x v="0"/>
    <x v="1"/>
    <n v="13"/>
    <n v="18067"/>
    <n v="1363"/>
    <x v="17"/>
    <n v="7.5441412520064199E-2"/>
  </r>
  <r>
    <n v="19"/>
    <x v="5"/>
    <x v="2"/>
    <x v="2"/>
    <n v="13"/>
    <n v="53033"/>
    <n v="3290"/>
    <x v="18"/>
    <n v="6.203684498331228E-2"/>
  </r>
  <r>
    <n v="20"/>
    <x v="8"/>
    <x v="0"/>
    <x v="2"/>
    <n v="13"/>
    <n v="57256"/>
    <n v="7908"/>
    <x v="19"/>
    <n v="0.13811652927204135"/>
  </r>
  <r>
    <n v="21"/>
    <x v="9"/>
    <x v="2"/>
    <x v="1"/>
    <n v="14"/>
    <n v="28599"/>
    <n v="9255"/>
    <x v="20"/>
    <n v="0.32361271373124934"/>
  </r>
  <r>
    <n v="22"/>
    <x v="6"/>
    <x v="2"/>
    <x v="1"/>
    <n v="10"/>
    <n v="40222"/>
    <n v="5616"/>
    <x v="21"/>
    <n v="0.13962508080155139"/>
  </r>
  <r>
    <n v="23"/>
    <x v="10"/>
    <x v="0"/>
    <x v="1"/>
    <n v="14"/>
    <n v="16837"/>
    <n v="6519"/>
    <x v="22"/>
    <n v="0.3871829898437964"/>
  </r>
  <r>
    <n v="24"/>
    <x v="5"/>
    <x v="0"/>
    <x v="1"/>
    <n v="14"/>
    <n v="19039"/>
    <n v="2257"/>
    <x v="23"/>
    <n v="0.11854614212931351"/>
  </r>
  <r>
    <n v="25"/>
    <x v="11"/>
    <x v="2"/>
    <x v="1"/>
    <n v="2"/>
    <n v="35818"/>
    <n v="8074"/>
    <x v="24"/>
    <n v="0.22541738790552238"/>
  </r>
  <r>
    <n v="26"/>
    <x v="12"/>
    <x v="1"/>
    <x v="2"/>
    <n v="10"/>
    <n v="24115"/>
    <n v="6874"/>
    <x v="25"/>
    <n v="0.28505079825834545"/>
  </r>
  <r>
    <n v="27"/>
    <x v="9"/>
    <x v="0"/>
    <x v="1"/>
    <n v="8"/>
    <n v="15965"/>
    <n v="7392"/>
    <x v="26"/>
    <n v="0.463012840588788"/>
  </r>
  <r>
    <n v="28"/>
    <x v="10"/>
    <x v="1"/>
    <x v="0"/>
    <n v="10"/>
    <n v="29538"/>
    <n v="2178"/>
    <x v="27"/>
    <n v="7.3735527117611208E-2"/>
  </r>
  <r>
    <n v="29"/>
    <x v="11"/>
    <x v="1"/>
    <x v="3"/>
    <n v="9"/>
    <n v="47530"/>
    <n v="3742"/>
    <x v="28"/>
    <n v="7.8729223648222171E-2"/>
  </r>
  <r>
    <n v="30"/>
    <x v="6"/>
    <x v="1"/>
    <x v="1"/>
    <n v="2"/>
    <n v="10056"/>
    <n v="5136"/>
    <x v="29"/>
    <n v="0.510739856801909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C13:D17" firstHeaderRow="1" firstDataRow="1" firstDataCol="1"/>
  <pivotFields count="9">
    <pivotField showAll="0"/>
    <pivotField showAll="0"/>
    <pivotField axis="axisRow" showAll="0">
      <items count="4">
        <item x="1"/>
        <item x="0"/>
        <item x="2"/>
        <item t="default"/>
      </items>
    </pivotField>
    <pivotField showAll="0">
      <items count="5">
        <item x="3"/>
        <item x="0"/>
        <item x="1"/>
        <item x="2"/>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2" showAll="0"/>
  </pivotFields>
  <rowFields count="1">
    <field x="2"/>
  </rowFields>
  <rowItems count="4">
    <i>
      <x/>
    </i>
    <i>
      <x v="1"/>
    </i>
    <i>
      <x v="2"/>
    </i>
    <i t="grand">
      <x/>
    </i>
  </rowItems>
  <colItems count="1">
    <i/>
  </colItems>
  <dataFields count="1">
    <dataField name="Sum of Sales" fld="5"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7:E8" firstHeaderRow="0" firstDataRow="1" firstDataCol="0"/>
  <pivotFields count="9">
    <pivotField showAll="0"/>
    <pivotField showAll="0"/>
    <pivotField showAll="0">
      <items count="4">
        <item x="1"/>
        <item x="0"/>
        <item x="2"/>
        <item t="default"/>
      </items>
    </pivotField>
    <pivotField showAll="0">
      <items count="5">
        <item x="3"/>
        <item x="0"/>
        <item x="1"/>
        <item x="2"/>
        <item t="default"/>
      </items>
    </pivotField>
    <pivotField showAll="0"/>
    <pivotField dataField="1" showAll="0"/>
    <pivotField dataField="1" showAll="0"/>
    <pivotField numFmtId="14" showAll="0">
      <items count="15">
        <item x="0"/>
        <item x="1"/>
        <item x="2"/>
        <item x="3"/>
        <item x="4"/>
        <item x="5"/>
        <item x="6"/>
        <item x="7"/>
        <item x="8"/>
        <item x="9"/>
        <item x="10"/>
        <item x="11"/>
        <item x="12"/>
        <item x="13"/>
        <item t="default"/>
      </items>
    </pivotField>
    <pivotField dataField="1" numFmtId="2" showAll="0"/>
  </pivotFields>
  <rowItems count="1">
    <i/>
  </rowItems>
  <colFields count="1">
    <field x="-2"/>
  </colFields>
  <colItems count="3">
    <i>
      <x/>
    </i>
    <i i="1">
      <x v="1"/>
    </i>
    <i i="2">
      <x v="2"/>
    </i>
  </colItems>
  <dataFields count="3">
    <dataField name="Sum of Sales" fld="5" baseField="0" baseItem="0"/>
    <dataField name="Sum of Profit" fld="6" baseField="0" baseItem="0"/>
    <dataField name="Average of profit%"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21:L27" firstHeaderRow="1" firstDataRow="2" firstDataCol="1"/>
  <pivotFields count="9">
    <pivotField showAll="0"/>
    <pivotField showAll="0"/>
    <pivotField axis="axisCol" showAll="0">
      <items count="4">
        <item x="1"/>
        <item x="0"/>
        <item x="2"/>
        <item t="default"/>
      </items>
    </pivotField>
    <pivotField axis="axisRow" showAll="0">
      <items count="5">
        <item x="3"/>
        <item x="0"/>
        <item x="1"/>
        <item x="2"/>
        <item t="default"/>
      </items>
    </pivotField>
    <pivotField showAll="0"/>
    <pivotField showAll="0"/>
    <pivotField showAll="0"/>
    <pivotField numFmtId="14" showAll="0"/>
    <pivotField dataField="1" numFmtId="2" showAll="0"/>
  </pivotFields>
  <rowFields count="1">
    <field x="3"/>
  </rowFields>
  <rowItems count="5">
    <i>
      <x/>
    </i>
    <i>
      <x v="1"/>
    </i>
    <i>
      <x v="2"/>
    </i>
    <i>
      <x v="3"/>
    </i>
    <i t="grand">
      <x/>
    </i>
  </rowItems>
  <colFields count="1">
    <field x="2"/>
  </colFields>
  <colItems count="4">
    <i>
      <x/>
    </i>
    <i>
      <x v="1"/>
    </i>
    <i>
      <x v="2"/>
    </i>
    <i t="grand">
      <x/>
    </i>
  </colItems>
  <dataFields count="1">
    <dataField name="Sum of profit%" fld="8" baseField="0" baseItem="0"/>
  </dataFields>
  <chartFormats count="4">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3">
          <reference field="4294967294" count="1" selected="0">
            <x v="0"/>
          </reference>
          <reference field="2"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7:I15" firstHeaderRow="1" firstDataRow="1" firstDataCol="1"/>
  <pivotFields count="9">
    <pivotField showAll="0"/>
    <pivotField showAll="0"/>
    <pivotField showAll="0">
      <items count="4">
        <item x="1"/>
        <item x="0"/>
        <item x="2"/>
        <item t="default"/>
      </items>
    </pivotField>
    <pivotField showAll="0">
      <items count="5">
        <item x="3"/>
        <item x="0"/>
        <item x="1"/>
        <item x="2"/>
        <item t="default"/>
      </items>
    </pivotField>
    <pivotField showAll="0"/>
    <pivotField dataField="1" showAll="0"/>
    <pivotField showAll="0"/>
    <pivotField axis="axisRow" numFmtId="14" showAll="0">
      <items count="15">
        <item x="0"/>
        <item x="1"/>
        <item x="2"/>
        <item x="3"/>
        <item x="4"/>
        <item x="5"/>
        <item x="6"/>
        <item x="7"/>
        <item x="8"/>
        <item x="9"/>
        <item x="10"/>
        <item x="11"/>
        <item x="12"/>
        <item x="13"/>
        <item t="default"/>
      </items>
    </pivotField>
    <pivotField numFmtId="2" showAll="0"/>
  </pivotFields>
  <rowFields count="1">
    <field x="7"/>
  </rowFields>
  <rowItems count="8">
    <i>
      <x v="1"/>
    </i>
    <i>
      <x v="2"/>
    </i>
    <i>
      <x v="3"/>
    </i>
    <i>
      <x v="4"/>
    </i>
    <i>
      <x v="5"/>
    </i>
    <i>
      <x v="6"/>
    </i>
    <i>
      <x v="7"/>
    </i>
    <i t="grand">
      <x/>
    </i>
  </rowItems>
  <colItems count="1">
    <i/>
  </colItems>
  <dataFields count="1">
    <dataField name="Sum of Sales" fld="5"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6"/>
          </reference>
        </references>
      </pivotArea>
    </chartFormat>
    <chartFormat chart="2" format="4">
      <pivotArea type="data" outline="0" fieldPosition="0">
        <references count="2">
          <reference field="4294967294" count="1" selected="0">
            <x v="0"/>
          </reference>
          <reference field="7" count="1" selected="0">
            <x v="7"/>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C21:D27" firstHeaderRow="1" firstDataRow="1" firstDataCol="1"/>
  <pivotFields count="9">
    <pivotField showAll="0"/>
    <pivotField axis="axisRow" showAll="0" measureFilter="1" sortType="descending">
      <items count="14">
        <item x="11"/>
        <item x="4"/>
        <item x="6"/>
        <item x="9"/>
        <item x="1"/>
        <item x="0"/>
        <item x="10"/>
        <item x="5"/>
        <item x="3"/>
        <item x="12"/>
        <item x="7"/>
        <item x="2"/>
        <item x="8"/>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5">
        <item x="3"/>
        <item x="0"/>
        <item x="1"/>
        <item x="2"/>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2" showAll="0"/>
  </pivotFields>
  <rowFields count="1">
    <field x="1"/>
  </rowFields>
  <rowItems count="6">
    <i>
      <x v="7"/>
    </i>
    <i>
      <x v="1"/>
    </i>
    <i>
      <x v="11"/>
    </i>
    <i>
      <x/>
    </i>
    <i>
      <x v="2"/>
    </i>
    <i t="grand">
      <x/>
    </i>
  </rowItems>
  <colItems count="1">
    <i/>
  </colItems>
  <dataFields count="1">
    <dataField name="Sum of Sales" fld="5"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4"/>
    <pivotTable tabId="2" name="PivotTable1"/>
    <pivotTable tabId="2" name="PivotTable2"/>
    <pivotTable tabId="2" name="PivotTable3"/>
    <pivotTable tabId="2" name="PivotTable5"/>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 tabId="2" name="PivotTable1"/>
    <pivotTable tabId="2" name="PivotTable2"/>
    <pivotTable tabId="2" name="PivotTable3"/>
    <pivotTable tabId="2" name="PivotTable5"/>
  </pivotTables>
  <data>
    <tabular pivotCacheId="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s>
</file>

<file path=xl/tables/table1.xml><?xml version="1.0" encoding="utf-8"?>
<table xmlns="http://schemas.openxmlformats.org/spreadsheetml/2006/main" id="1" name="SalesTbI" displayName="SalesTbI" ref="A1:I31" totalsRowShown="0" headerRowDxfId="13" dataDxfId="11" headerRowBorderDxfId="12" tableBorderDxfId="10" totalsRowBorderDxfId="9">
  <autoFilter ref="A1:I31"/>
  <tableColumns count="9">
    <tableColumn id="1" name="OrderID" dataDxfId="8"/>
    <tableColumn id="2" name="ProductName" dataDxfId="7"/>
    <tableColumn id="3" name="Category" dataDxfId="6"/>
    <tableColumn id="4" name="Region" dataDxfId="5"/>
    <tableColumn id="5" name="Quantity" dataDxfId="4"/>
    <tableColumn id="6" name="Sales" dataDxfId="3"/>
    <tableColumn id="7" name="Profit" dataDxfId="2"/>
    <tableColumn id="8" name="OrderDate" dataDxfId="1"/>
    <tableColumn id="9" name="profit%" dataDxfId="0">
      <calculatedColumnFormula>(SalesTbI[[#This Row],[Profit]]/SalesTbI[[#This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zoomScaleNormal="100" workbookViewId="0">
      <selection activeCell="K7" sqref="K7"/>
    </sheetView>
  </sheetViews>
  <sheetFormatPr defaultRowHeight="15" x14ac:dyDescent="0.25"/>
  <cols>
    <col min="1" max="1" width="10.140625" customWidth="1"/>
    <col min="2" max="2" width="15.28515625" customWidth="1"/>
    <col min="3" max="3" width="11.28515625" customWidth="1"/>
    <col min="4" max="4" width="9.28515625" customWidth="1"/>
    <col min="5" max="5" width="10.85546875" customWidth="1"/>
    <col min="8" max="8" width="18.28515625" customWidth="1"/>
    <col min="9" max="9" width="12.140625" customWidth="1"/>
    <col min="10" max="10" width="17.28515625" customWidth="1"/>
  </cols>
  <sheetData>
    <row r="1" spans="1:16" ht="24.75" customHeight="1" x14ac:dyDescent="0.25">
      <c r="A1" s="10" t="s">
        <v>0</v>
      </c>
      <c r="B1" s="11" t="s">
        <v>1</v>
      </c>
      <c r="C1" s="11" t="s">
        <v>2</v>
      </c>
      <c r="D1" s="11" t="s">
        <v>3</v>
      </c>
      <c r="E1" s="11" t="s">
        <v>4</v>
      </c>
      <c r="F1" s="11" t="s">
        <v>5</v>
      </c>
      <c r="G1" s="11" t="s">
        <v>6</v>
      </c>
      <c r="H1" s="12" t="s">
        <v>7</v>
      </c>
      <c r="I1" s="19" t="s">
        <v>28</v>
      </c>
    </row>
    <row r="2" spans="1:16" x14ac:dyDescent="0.25">
      <c r="A2" s="9">
        <v>1</v>
      </c>
      <c r="B2" s="1" t="s">
        <v>8</v>
      </c>
      <c r="C2" s="1" t="s">
        <v>21</v>
      </c>
      <c r="D2" s="1" t="s">
        <v>24</v>
      </c>
      <c r="E2" s="1">
        <v>11</v>
      </c>
      <c r="F2" s="1">
        <v>7027</v>
      </c>
      <c r="G2" s="1">
        <v>8610</v>
      </c>
      <c r="H2" s="8">
        <v>44927</v>
      </c>
      <c r="I2" s="17">
        <f>(SalesTbI[[#This Row],[Profit]]/SalesTbI[[#This Row],[Sales]])</f>
        <v>1.2252739433613207</v>
      </c>
    </row>
    <row r="3" spans="1:16" x14ac:dyDescent="0.25">
      <c r="A3" s="9">
        <v>2</v>
      </c>
      <c r="B3" s="1" t="s">
        <v>9</v>
      </c>
      <c r="C3" s="1" t="s">
        <v>22</v>
      </c>
      <c r="D3" s="1" t="s">
        <v>25</v>
      </c>
      <c r="E3" s="1">
        <v>13</v>
      </c>
      <c r="F3" s="1">
        <v>7695</v>
      </c>
      <c r="G3" s="1">
        <v>11382</v>
      </c>
      <c r="H3" s="8">
        <v>44934</v>
      </c>
      <c r="I3" s="16">
        <f>(SalesTbI[[#This Row],[Profit]]/SalesTbI[[#This Row],[Sales]])</f>
        <v>1.4791423001949318</v>
      </c>
    </row>
    <row r="4" spans="1:16" x14ac:dyDescent="0.25">
      <c r="A4" s="9">
        <v>3</v>
      </c>
      <c r="B4" s="1" t="s">
        <v>10</v>
      </c>
      <c r="C4" s="1" t="s">
        <v>22</v>
      </c>
      <c r="D4" s="1" t="s">
        <v>24</v>
      </c>
      <c r="E4" s="1">
        <v>3</v>
      </c>
      <c r="F4" s="1">
        <v>53190</v>
      </c>
      <c r="G4" s="1">
        <v>4340</v>
      </c>
      <c r="H4" s="8">
        <v>44941</v>
      </c>
      <c r="I4" s="16">
        <f>(SalesTbI[[#This Row],[Profit]]/SalesTbI[[#This Row],[Sales]])</f>
        <v>8.1594284639969913E-2</v>
      </c>
      <c r="K4" s="2"/>
      <c r="L4" s="2"/>
      <c r="M4" s="2"/>
      <c r="N4" s="2"/>
      <c r="O4" s="2"/>
      <c r="P4" s="2"/>
    </row>
    <row r="5" spans="1:16" x14ac:dyDescent="0.25">
      <c r="A5" s="9">
        <v>4</v>
      </c>
      <c r="B5" s="1" t="s">
        <v>11</v>
      </c>
      <c r="C5" s="1" t="s">
        <v>21</v>
      </c>
      <c r="D5" s="1" t="s">
        <v>25</v>
      </c>
      <c r="E5" s="1">
        <v>11</v>
      </c>
      <c r="F5" s="1">
        <v>10258</v>
      </c>
      <c r="G5" s="1">
        <v>1528</v>
      </c>
      <c r="H5" s="8">
        <v>44948</v>
      </c>
      <c r="I5" s="16">
        <f>(SalesTbI[[#This Row],[Profit]]/SalesTbI[[#This Row],[Sales]])</f>
        <v>0.1489569116786898</v>
      </c>
      <c r="K5" s="2"/>
      <c r="L5" s="2"/>
      <c r="M5" s="2"/>
      <c r="N5" s="2"/>
      <c r="O5" s="2"/>
      <c r="P5" s="2"/>
    </row>
    <row r="6" spans="1:16" x14ac:dyDescent="0.25">
      <c r="A6" s="9">
        <v>5</v>
      </c>
      <c r="B6" s="1" t="s">
        <v>12</v>
      </c>
      <c r="C6" s="1" t="s">
        <v>21</v>
      </c>
      <c r="D6" s="1" t="s">
        <v>26</v>
      </c>
      <c r="E6" s="1">
        <v>5</v>
      </c>
      <c r="F6" s="1">
        <v>27002</v>
      </c>
      <c r="G6" s="1">
        <v>7885</v>
      </c>
      <c r="H6" s="8">
        <v>44955</v>
      </c>
      <c r="I6" s="16">
        <f>(SalesTbI[[#This Row],[Profit]]/SalesTbI[[#This Row],[Sales]])</f>
        <v>0.29201540626620248</v>
      </c>
      <c r="K6" s="2"/>
      <c r="L6" s="2"/>
      <c r="M6" s="2"/>
      <c r="N6" s="2"/>
      <c r="O6" s="2"/>
      <c r="P6" s="2"/>
    </row>
    <row r="7" spans="1:16" x14ac:dyDescent="0.25">
      <c r="A7" s="9">
        <v>6</v>
      </c>
      <c r="B7" s="1" t="s">
        <v>13</v>
      </c>
      <c r="C7" s="1" t="s">
        <v>21</v>
      </c>
      <c r="D7" s="1" t="s">
        <v>26</v>
      </c>
      <c r="E7" s="1">
        <v>9</v>
      </c>
      <c r="F7" s="1">
        <v>44504</v>
      </c>
      <c r="G7" s="1">
        <v>1002</v>
      </c>
      <c r="H7" s="8">
        <v>44962</v>
      </c>
      <c r="I7" s="16">
        <f>(SalesTbI[[#This Row],[Profit]]/SalesTbI[[#This Row],[Sales]])</f>
        <v>2.2514830127628976E-2</v>
      </c>
      <c r="K7" s="2"/>
      <c r="L7" s="2"/>
      <c r="M7" s="2"/>
      <c r="N7" s="2"/>
      <c r="O7" s="2"/>
      <c r="P7" s="2"/>
    </row>
    <row r="8" spans="1:16" x14ac:dyDescent="0.25">
      <c r="A8" s="9">
        <v>7</v>
      </c>
      <c r="B8" s="1" t="s">
        <v>10</v>
      </c>
      <c r="C8" s="1" t="s">
        <v>23</v>
      </c>
      <c r="D8" s="1" t="s">
        <v>27</v>
      </c>
      <c r="E8" s="1">
        <v>8</v>
      </c>
      <c r="F8" s="1">
        <v>38159</v>
      </c>
      <c r="G8" s="1">
        <v>7410</v>
      </c>
      <c r="H8" s="8">
        <v>44969</v>
      </c>
      <c r="I8" s="16">
        <f>(SalesTbI[[#This Row],[Profit]]/SalesTbI[[#This Row],[Sales]])</f>
        <v>0.19418747870751329</v>
      </c>
      <c r="K8" s="2"/>
      <c r="L8" s="2"/>
      <c r="M8" s="2"/>
      <c r="N8" s="2"/>
      <c r="O8" s="2"/>
      <c r="P8" s="2"/>
    </row>
    <row r="9" spans="1:16" x14ac:dyDescent="0.25">
      <c r="A9" s="9">
        <v>8</v>
      </c>
      <c r="B9" s="1" t="s">
        <v>14</v>
      </c>
      <c r="C9" s="1" t="s">
        <v>23</v>
      </c>
      <c r="D9" s="1" t="s">
        <v>26</v>
      </c>
      <c r="E9" s="1">
        <v>13</v>
      </c>
      <c r="F9" s="1">
        <v>18986</v>
      </c>
      <c r="G9" s="1">
        <v>9562</v>
      </c>
      <c r="H9" s="8">
        <v>44976</v>
      </c>
      <c r="I9" s="16">
        <f>(SalesTbI[[#This Row],[Profit]]/SalesTbI[[#This Row],[Sales]])</f>
        <v>0.50363425682081531</v>
      </c>
      <c r="K9" s="2"/>
      <c r="L9" s="2"/>
      <c r="M9" s="2"/>
      <c r="N9" s="2"/>
      <c r="O9" s="2"/>
      <c r="P9" s="2"/>
    </row>
    <row r="10" spans="1:16" x14ac:dyDescent="0.25">
      <c r="A10" s="9">
        <v>9</v>
      </c>
      <c r="B10" s="1" t="s">
        <v>8</v>
      </c>
      <c r="C10" s="1" t="s">
        <v>23</v>
      </c>
      <c r="D10" s="1" t="s">
        <v>27</v>
      </c>
      <c r="E10" s="1">
        <v>10</v>
      </c>
      <c r="F10" s="1">
        <v>17666</v>
      </c>
      <c r="G10" s="1">
        <v>7438</v>
      </c>
      <c r="H10" s="8">
        <v>44983</v>
      </c>
      <c r="I10" s="16">
        <f>(SalesTbI[[#This Row],[Profit]]/SalesTbI[[#This Row],[Sales]])</f>
        <v>0.42103475602852936</v>
      </c>
      <c r="K10" s="2"/>
      <c r="L10" s="2"/>
      <c r="M10" s="2"/>
      <c r="N10" s="2"/>
      <c r="O10" s="2"/>
      <c r="P10" s="2"/>
    </row>
    <row r="11" spans="1:16" x14ac:dyDescent="0.25">
      <c r="A11" s="9">
        <v>10</v>
      </c>
      <c r="B11" s="1" t="s">
        <v>15</v>
      </c>
      <c r="C11" s="1" t="s">
        <v>22</v>
      </c>
      <c r="D11" s="1" t="s">
        <v>26</v>
      </c>
      <c r="E11" s="1">
        <v>9</v>
      </c>
      <c r="F11" s="1">
        <v>43660</v>
      </c>
      <c r="G11" s="1">
        <v>4988</v>
      </c>
      <c r="H11" s="8">
        <v>44990</v>
      </c>
      <c r="I11" s="16">
        <f>(SalesTbI[[#This Row],[Profit]]/SalesTbI[[#This Row],[Sales]])</f>
        <v>0.11424644983967018</v>
      </c>
      <c r="K11" s="2"/>
      <c r="L11" s="2"/>
      <c r="M11" s="2"/>
      <c r="N11" s="2"/>
      <c r="O11" s="2"/>
      <c r="P11" s="2"/>
    </row>
    <row r="12" spans="1:16" x14ac:dyDescent="0.25">
      <c r="A12" s="9">
        <v>11</v>
      </c>
      <c r="B12" s="1" t="s">
        <v>16</v>
      </c>
      <c r="C12" s="1" t="s">
        <v>23</v>
      </c>
      <c r="D12" s="1" t="s">
        <v>24</v>
      </c>
      <c r="E12" s="1">
        <v>6</v>
      </c>
      <c r="F12" s="1">
        <v>8561</v>
      </c>
      <c r="G12" s="1">
        <v>706</v>
      </c>
      <c r="H12" s="8">
        <v>44997</v>
      </c>
      <c r="I12" s="16">
        <f>(SalesTbI[[#This Row],[Profit]]/SalesTbI[[#This Row],[Sales]])</f>
        <v>8.2467001518514188E-2</v>
      </c>
      <c r="K12" s="2"/>
      <c r="L12" s="2"/>
      <c r="M12" s="2"/>
      <c r="N12" s="2"/>
      <c r="O12" s="2"/>
      <c r="P12" s="2"/>
    </row>
    <row r="13" spans="1:16" x14ac:dyDescent="0.25">
      <c r="A13" s="9">
        <v>12</v>
      </c>
      <c r="B13" s="1" t="s">
        <v>8</v>
      </c>
      <c r="C13" s="1" t="s">
        <v>22</v>
      </c>
      <c r="D13" s="1" t="s">
        <v>26</v>
      </c>
      <c r="E13" s="1">
        <v>14</v>
      </c>
      <c r="F13" s="1">
        <v>31854</v>
      </c>
      <c r="G13" s="1">
        <v>5634</v>
      </c>
      <c r="H13" s="8">
        <v>45004</v>
      </c>
      <c r="I13" s="16">
        <f>(SalesTbI[[#This Row],[Profit]]/SalesTbI[[#This Row],[Sales]])</f>
        <v>0.1768694669429271</v>
      </c>
    </row>
    <row r="14" spans="1:16" x14ac:dyDescent="0.25">
      <c r="A14" s="9">
        <v>13</v>
      </c>
      <c r="B14" s="1" t="s">
        <v>12</v>
      </c>
      <c r="C14" s="1" t="s">
        <v>22</v>
      </c>
      <c r="D14" s="1" t="s">
        <v>27</v>
      </c>
      <c r="E14" s="1">
        <v>3</v>
      </c>
      <c r="F14" s="1">
        <v>43952</v>
      </c>
      <c r="G14" s="1">
        <v>6477</v>
      </c>
      <c r="H14" s="8">
        <v>45011</v>
      </c>
      <c r="I14" s="16">
        <f>(SalesTbI[[#This Row],[Profit]]/SalesTbI[[#This Row],[Sales]])</f>
        <v>0.14736530760829997</v>
      </c>
    </row>
    <row r="15" spans="1:16" x14ac:dyDescent="0.25">
      <c r="A15" s="9">
        <v>14</v>
      </c>
      <c r="B15" s="1" t="s">
        <v>12</v>
      </c>
      <c r="C15" s="1" t="s">
        <v>23</v>
      </c>
      <c r="D15" s="1" t="s">
        <v>27</v>
      </c>
      <c r="E15" s="1">
        <v>6</v>
      </c>
      <c r="F15" s="1">
        <v>57251</v>
      </c>
      <c r="G15" s="1">
        <v>8221</v>
      </c>
      <c r="H15" s="8">
        <v>45018</v>
      </c>
      <c r="I15" s="16">
        <f>(SalesTbI[[#This Row],[Profit]]/SalesTbI[[#This Row],[Sales]])</f>
        <v>0.14359574505248818</v>
      </c>
    </row>
    <row r="16" spans="1:16" x14ac:dyDescent="0.25">
      <c r="A16" s="9">
        <v>15</v>
      </c>
      <c r="B16" s="1" t="s">
        <v>13</v>
      </c>
      <c r="C16" s="1" t="s">
        <v>22</v>
      </c>
      <c r="D16" s="1" t="s">
        <v>25</v>
      </c>
      <c r="E16" s="1">
        <v>9</v>
      </c>
      <c r="F16" s="1">
        <v>27662</v>
      </c>
      <c r="G16" s="1">
        <v>7535</v>
      </c>
      <c r="H16" s="8">
        <v>45025</v>
      </c>
      <c r="I16" s="16">
        <f>(SalesTbI[[#This Row],[Profit]]/SalesTbI[[#This Row],[Sales]])</f>
        <v>0.2723953437929289</v>
      </c>
    </row>
    <row r="17" spans="1:9" x14ac:dyDescent="0.25">
      <c r="A17" s="9">
        <v>16</v>
      </c>
      <c r="B17" s="1" t="s">
        <v>14</v>
      </c>
      <c r="C17" s="1" t="s">
        <v>23</v>
      </c>
      <c r="D17" s="1" t="s">
        <v>24</v>
      </c>
      <c r="E17" s="1">
        <v>11</v>
      </c>
      <c r="F17" s="1">
        <v>13392</v>
      </c>
      <c r="G17" s="1">
        <v>1984</v>
      </c>
      <c r="H17" s="8">
        <v>45032</v>
      </c>
      <c r="I17" s="16">
        <f>(SalesTbI[[#This Row],[Profit]]/SalesTbI[[#This Row],[Sales]])</f>
        <v>0.14814814814814814</v>
      </c>
    </row>
    <row r="18" spans="1:9" x14ac:dyDescent="0.25">
      <c r="A18" s="9">
        <v>17</v>
      </c>
      <c r="B18" s="1" t="s">
        <v>9</v>
      </c>
      <c r="C18" s="1" t="s">
        <v>23</v>
      </c>
      <c r="D18" s="1" t="s">
        <v>26</v>
      </c>
      <c r="E18" s="1">
        <v>10</v>
      </c>
      <c r="F18" s="1">
        <v>35535</v>
      </c>
      <c r="G18" s="1">
        <v>8358</v>
      </c>
      <c r="H18" s="8">
        <v>45039</v>
      </c>
      <c r="I18" s="16">
        <f>(SalesTbI[[#This Row],[Profit]]/SalesTbI[[#This Row],[Sales]])</f>
        <v>0.23520472773322076</v>
      </c>
    </row>
    <row r="19" spans="1:9" x14ac:dyDescent="0.25">
      <c r="A19" s="9">
        <v>18</v>
      </c>
      <c r="B19" s="1" t="s">
        <v>13</v>
      </c>
      <c r="C19" s="1" t="s">
        <v>21</v>
      </c>
      <c r="D19" s="1" t="s">
        <v>25</v>
      </c>
      <c r="E19" s="1">
        <v>13</v>
      </c>
      <c r="F19" s="1">
        <v>18067</v>
      </c>
      <c r="G19" s="1">
        <v>1363</v>
      </c>
      <c r="H19" s="8">
        <v>45046</v>
      </c>
      <c r="I19" s="16">
        <f>(SalesTbI[[#This Row],[Profit]]/SalesTbI[[#This Row],[Sales]])</f>
        <v>7.5441412520064199E-2</v>
      </c>
    </row>
    <row r="20" spans="1:9" x14ac:dyDescent="0.25">
      <c r="A20" s="9">
        <v>19</v>
      </c>
      <c r="B20" s="1" t="s">
        <v>13</v>
      </c>
      <c r="C20" s="1" t="s">
        <v>23</v>
      </c>
      <c r="D20" s="1" t="s">
        <v>26</v>
      </c>
      <c r="E20" s="1">
        <v>13</v>
      </c>
      <c r="F20" s="1">
        <v>53033</v>
      </c>
      <c r="G20" s="1">
        <v>3290</v>
      </c>
      <c r="H20" s="8">
        <v>45053</v>
      </c>
      <c r="I20" s="16">
        <f>(SalesTbI[[#This Row],[Profit]]/SalesTbI[[#This Row],[Sales]])</f>
        <v>6.203684498331228E-2</v>
      </c>
    </row>
    <row r="21" spans="1:9" x14ac:dyDescent="0.25">
      <c r="A21" s="9">
        <v>20</v>
      </c>
      <c r="B21" s="1" t="s">
        <v>16</v>
      </c>
      <c r="C21" s="1" t="s">
        <v>21</v>
      </c>
      <c r="D21" s="1" t="s">
        <v>26</v>
      </c>
      <c r="E21" s="1">
        <v>13</v>
      </c>
      <c r="F21" s="1">
        <v>57256</v>
      </c>
      <c r="G21" s="1">
        <v>7908</v>
      </c>
      <c r="H21" s="8">
        <v>45060</v>
      </c>
      <c r="I21" s="16">
        <f>(SalesTbI[[#This Row],[Profit]]/SalesTbI[[#This Row],[Sales]])</f>
        <v>0.13811652927204135</v>
      </c>
    </row>
    <row r="22" spans="1:9" x14ac:dyDescent="0.25">
      <c r="A22" s="9">
        <v>21</v>
      </c>
      <c r="B22" s="1" t="s">
        <v>17</v>
      </c>
      <c r="C22" s="1" t="s">
        <v>23</v>
      </c>
      <c r="D22" s="1" t="s">
        <v>25</v>
      </c>
      <c r="E22" s="1">
        <v>14</v>
      </c>
      <c r="F22" s="1">
        <v>28599</v>
      </c>
      <c r="G22" s="1">
        <v>9255</v>
      </c>
      <c r="H22" s="8">
        <v>45067</v>
      </c>
      <c r="I22" s="16">
        <f>(SalesTbI[[#This Row],[Profit]]/SalesTbI[[#This Row],[Sales]])</f>
        <v>0.32361271373124934</v>
      </c>
    </row>
    <row r="23" spans="1:9" x14ac:dyDescent="0.25">
      <c r="A23" s="9">
        <v>22</v>
      </c>
      <c r="B23" s="1" t="s">
        <v>14</v>
      </c>
      <c r="C23" s="1" t="s">
        <v>23</v>
      </c>
      <c r="D23" s="1" t="s">
        <v>25</v>
      </c>
      <c r="E23" s="1">
        <v>10</v>
      </c>
      <c r="F23" s="1">
        <v>40222</v>
      </c>
      <c r="G23" s="1">
        <v>5616</v>
      </c>
      <c r="H23" s="8">
        <v>45074</v>
      </c>
      <c r="I23" s="16">
        <f>(SalesTbI[[#This Row],[Profit]]/SalesTbI[[#This Row],[Sales]])</f>
        <v>0.13962508080155139</v>
      </c>
    </row>
    <row r="24" spans="1:9" x14ac:dyDescent="0.25">
      <c r="A24" s="9">
        <v>23</v>
      </c>
      <c r="B24" s="1" t="s">
        <v>18</v>
      </c>
      <c r="C24" s="1" t="s">
        <v>21</v>
      </c>
      <c r="D24" s="1" t="s">
        <v>25</v>
      </c>
      <c r="E24" s="1">
        <v>14</v>
      </c>
      <c r="F24" s="1">
        <v>16837</v>
      </c>
      <c r="G24" s="1">
        <v>6519</v>
      </c>
      <c r="H24" s="8">
        <v>45081</v>
      </c>
      <c r="I24" s="16">
        <f>(SalesTbI[[#This Row],[Profit]]/SalesTbI[[#This Row],[Sales]])</f>
        <v>0.3871829898437964</v>
      </c>
    </row>
    <row r="25" spans="1:9" x14ac:dyDescent="0.25">
      <c r="A25" s="9">
        <v>24</v>
      </c>
      <c r="B25" s="1" t="s">
        <v>13</v>
      </c>
      <c r="C25" s="1" t="s">
        <v>21</v>
      </c>
      <c r="D25" s="1" t="s">
        <v>25</v>
      </c>
      <c r="E25" s="1">
        <v>14</v>
      </c>
      <c r="F25" s="1">
        <v>19039</v>
      </c>
      <c r="G25" s="1">
        <v>2257</v>
      </c>
      <c r="H25" s="8">
        <v>45088</v>
      </c>
      <c r="I25" s="16">
        <f>(SalesTbI[[#This Row],[Profit]]/SalesTbI[[#This Row],[Sales]])</f>
        <v>0.11854614212931351</v>
      </c>
    </row>
    <row r="26" spans="1:9" x14ac:dyDescent="0.25">
      <c r="A26" s="9">
        <v>25</v>
      </c>
      <c r="B26" s="1" t="s">
        <v>19</v>
      </c>
      <c r="C26" s="1" t="s">
        <v>23</v>
      </c>
      <c r="D26" s="1" t="s">
        <v>25</v>
      </c>
      <c r="E26" s="1">
        <v>2</v>
      </c>
      <c r="F26" s="1">
        <v>35818</v>
      </c>
      <c r="G26" s="1">
        <v>8074</v>
      </c>
      <c r="H26" s="8">
        <v>45095</v>
      </c>
      <c r="I26" s="16">
        <f>(SalesTbI[[#This Row],[Profit]]/SalesTbI[[#This Row],[Sales]])</f>
        <v>0.22541738790552238</v>
      </c>
    </row>
    <row r="27" spans="1:9" x14ac:dyDescent="0.25">
      <c r="A27" s="9">
        <v>26</v>
      </c>
      <c r="B27" s="1" t="s">
        <v>20</v>
      </c>
      <c r="C27" s="1" t="s">
        <v>22</v>
      </c>
      <c r="D27" s="1" t="s">
        <v>26</v>
      </c>
      <c r="E27" s="1">
        <v>10</v>
      </c>
      <c r="F27" s="1">
        <v>24115</v>
      </c>
      <c r="G27" s="1">
        <v>6874</v>
      </c>
      <c r="H27" s="8">
        <v>45102</v>
      </c>
      <c r="I27" s="16">
        <f>(SalesTbI[[#This Row],[Profit]]/SalesTbI[[#This Row],[Sales]])</f>
        <v>0.28505079825834545</v>
      </c>
    </row>
    <row r="28" spans="1:9" x14ac:dyDescent="0.25">
      <c r="A28" s="9">
        <v>27</v>
      </c>
      <c r="B28" s="1" t="s">
        <v>17</v>
      </c>
      <c r="C28" s="1" t="s">
        <v>21</v>
      </c>
      <c r="D28" s="1" t="s">
        <v>25</v>
      </c>
      <c r="E28" s="1">
        <v>8</v>
      </c>
      <c r="F28" s="1">
        <v>15965</v>
      </c>
      <c r="G28" s="1">
        <v>7392</v>
      </c>
      <c r="H28" s="8">
        <v>45109</v>
      </c>
      <c r="I28" s="16">
        <f>(SalesTbI[[#This Row],[Profit]]/SalesTbI[[#This Row],[Sales]])</f>
        <v>0.463012840588788</v>
      </c>
    </row>
    <row r="29" spans="1:9" x14ac:dyDescent="0.25">
      <c r="A29" s="9">
        <v>28</v>
      </c>
      <c r="B29" s="1" t="s">
        <v>18</v>
      </c>
      <c r="C29" s="1" t="s">
        <v>22</v>
      </c>
      <c r="D29" s="1" t="s">
        <v>24</v>
      </c>
      <c r="E29" s="1">
        <v>10</v>
      </c>
      <c r="F29" s="1">
        <v>29538</v>
      </c>
      <c r="G29" s="1">
        <v>2178</v>
      </c>
      <c r="H29" s="8">
        <v>45116</v>
      </c>
      <c r="I29" s="16">
        <f>(SalesTbI[[#This Row],[Profit]]/SalesTbI[[#This Row],[Sales]])</f>
        <v>7.3735527117611208E-2</v>
      </c>
    </row>
    <row r="30" spans="1:9" x14ac:dyDescent="0.25">
      <c r="A30" s="9">
        <v>29</v>
      </c>
      <c r="B30" s="1" t="s">
        <v>19</v>
      </c>
      <c r="C30" s="1" t="s">
        <v>22</v>
      </c>
      <c r="D30" s="1" t="s">
        <v>27</v>
      </c>
      <c r="E30" s="1">
        <v>9</v>
      </c>
      <c r="F30" s="1">
        <v>47530</v>
      </c>
      <c r="G30" s="1">
        <v>3742</v>
      </c>
      <c r="H30" s="8">
        <v>45123</v>
      </c>
      <c r="I30" s="16">
        <f>(SalesTbI[[#This Row],[Profit]]/SalesTbI[[#This Row],[Sales]])</f>
        <v>7.8729223648222171E-2</v>
      </c>
    </row>
    <row r="31" spans="1:9" x14ac:dyDescent="0.25">
      <c r="A31" s="13">
        <v>30</v>
      </c>
      <c r="B31" s="14" t="s">
        <v>14</v>
      </c>
      <c r="C31" s="14" t="s">
        <v>22</v>
      </c>
      <c r="D31" s="14" t="s">
        <v>25</v>
      </c>
      <c r="E31" s="14">
        <v>2</v>
      </c>
      <c r="F31" s="14">
        <v>10056</v>
      </c>
      <c r="G31" s="14">
        <v>5136</v>
      </c>
      <c r="H31" s="15">
        <v>45130</v>
      </c>
      <c r="I31" s="18">
        <f>(SalesTbI[[#This Row],[Profit]]/SalesTbI[[#This Row],[Sales]])</f>
        <v>0.51073985680190925</v>
      </c>
    </row>
    <row r="36" spans="2:13" x14ac:dyDescent="0.25">
      <c r="B36" s="2"/>
      <c r="C36" s="2"/>
      <c r="D36" s="2"/>
      <c r="E36" s="2"/>
      <c r="F36" s="2"/>
      <c r="H36" s="2"/>
      <c r="I36" s="2"/>
      <c r="J36" s="2"/>
      <c r="K36" s="2"/>
      <c r="L36" s="2"/>
      <c r="M36" s="2"/>
    </row>
    <row r="38" spans="2:13" x14ac:dyDescent="0.25">
      <c r="B38" s="7"/>
      <c r="H38" s="2"/>
    </row>
    <row r="39" spans="2:13" x14ac:dyDescent="0.25">
      <c r="B39" s="6"/>
      <c r="H39" s="3"/>
      <c r="I39" s="4"/>
      <c r="J39" s="4"/>
    </row>
    <row r="40" spans="2:13" x14ac:dyDescent="0.25">
      <c r="B40" s="6"/>
      <c r="H40" s="3"/>
      <c r="I40" s="4"/>
      <c r="J40" s="4"/>
    </row>
    <row r="41" spans="2:13" x14ac:dyDescent="0.25">
      <c r="B41" s="6"/>
      <c r="H41" s="3"/>
      <c r="I41" s="4"/>
      <c r="J41" s="4"/>
    </row>
    <row r="42" spans="2:13" x14ac:dyDescent="0.25">
      <c r="B42" s="6"/>
      <c r="H42" s="3"/>
      <c r="I42" s="4"/>
      <c r="J42" s="4"/>
    </row>
    <row r="43" spans="2:13" x14ac:dyDescent="0.25">
      <c r="B43" s="6"/>
    </row>
    <row r="44" spans="2:13" x14ac:dyDescent="0.25">
      <c r="B44" s="6"/>
    </row>
    <row r="45" spans="2:13" x14ac:dyDescent="0.25">
      <c r="B45" s="6"/>
    </row>
    <row r="46" spans="2:13" x14ac:dyDescent="0.25">
      <c r="B46" s="6"/>
    </row>
    <row r="47" spans="2:13" x14ac:dyDescent="0.25">
      <c r="B47" s="6"/>
    </row>
    <row r="48" spans="2:13" x14ac:dyDescent="0.25">
      <c r="B48" s="6"/>
    </row>
    <row r="49" spans="2:2" x14ac:dyDescent="0.25">
      <c r="B49" s="6"/>
    </row>
    <row r="50" spans="2:2" x14ac:dyDescent="0.25">
      <c r="B50" s="6"/>
    </row>
    <row r="51" spans="2:2" x14ac:dyDescent="0.25">
      <c r="B51" s="6"/>
    </row>
    <row r="52" spans="2:2" x14ac:dyDescent="0.25">
      <c r="B52" s="6"/>
    </row>
    <row r="53" spans="2:2" x14ac:dyDescent="0.25">
      <c r="B53" s="6"/>
    </row>
    <row r="54" spans="2:2" x14ac:dyDescent="0.25">
      <c r="B54" s="6"/>
    </row>
    <row r="55" spans="2:2" x14ac:dyDescent="0.25">
      <c r="B55" s="6"/>
    </row>
    <row r="56" spans="2:2" x14ac:dyDescent="0.25">
      <c r="B56" s="6"/>
    </row>
    <row r="57" spans="2:2" x14ac:dyDescent="0.25">
      <c r="B57" s="6"/>
    </row>
    <row r="58" spans="2:2" x14ac:dyDescent="0.25">
      <c r="B58" s="6"/>
    </row>
    <row r="59" spans="2:2" x14ac:dyDescent="0.25">
      <c r="B59" s="6"/>
    </row>
    <row r="60" spans="2:2" x14ac:dyDescent="0.25">
      <c r="B60" s="6"/>
    </row>
    <row r="61" spans="2:2" x14ac:dyDescent="0.25">
      <c r="B61" s="6"/>
    </row>
    <row r="62" spans="2:2" x14ac:dyDescent="0.25">
      <c r="B62" s="6"/>
    </row>
    <row r="63" spans="2:2" x14ac:dyDescent="0.25">
      <c r="B63" s="6"/>
    </row>
    <row r="64" spans="2:2" x14ac:dyDescent="0.25">
      <c r="B64" s="6"/>
    </row>
    <row r="65" spans="2:2" x14ac:dyDescent="0.25">
      <c r="B65" s="6"/>
    </row>
    <row r="66" spans="2:2" x14ac:dyDescent="0.25">
      <c r="B66" s="6"/>
    </row>
    <row r="67" spans="2:2" x14ac:dyDescent="0.25">
      <c r="B67" s="6"/>
    </row>
    <row r="68" spans="2:2" x14ac:dyDescent="0.25">
      <c r="B68" s="6"/>
    </row>
    <row r="69" spans="2:2" x14ac:dyDescent="0.25">
      <c r="B69" s="5"/>
    </row>
    <row r="70" spans="2:2" x14ac:dyDescent="0.25">
      <c r="B70" s="5"/>
    </row>
    <row r="71" spans="2:2" x14ac:dyDescent="0.25">
      <c r="B71" s="5"/>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L27"/>
  <sheetViews>
    <sheetView tabSelected="1" workbookViewId="0">
      <selection activeCell="B8" sqref="B8"/>
    </sheetView>
  </sheetViews>
  <sheetFormatPr defaultRowHeight="15" x14ac:dyDescent="0.25"/>
  <cols>
    <col min="3" max="3" width="14.28515625" customWidth="1"/>
    <col min="4" max="4" width="16.28515625" customWidth="1"/>
    <col min="5" max="7" width="12" customWidth="1"/>
    <col min="8" max="8" width="13.140625" customWidth="1"/>
    <col min="9" max="9" width="12.140625" customWidth="1"/>
    <col min="12" max="12" width="11.5703125" customWidth="1"/>
  </cols>
  <sheetData>
    <row r="5" spans="3:9" x14ac:dyDescent="0.25">
      <c r="C5" t="s">
        <v>48</v>
      </c>
      <c r="H5" s="26" t="s">
        <v>46</v>
      </c>
      <c r="I5" s="26"/>
    </row>
    <row r="7" spans="3:9" x14ac:dyDescent="0.25">
      <c r="C7" s="2" t="s">
        <v>29</v>
      </c>
      <c r="D7" s="2" t="s">
        <v>30</v>
      </c>
      <c r="E7" s="2" t="s">
        <v>32</v>
      </c>
      <c r="H7" s="20" t="s">
        <v>33</v>
      </c>
      <c r="I7" t="s">
        <v>29</v>
      </c>
    </row>
    <row r="8" spans="3:9" x14ac:dyDescent="0.25">
      <c r="C8" s="4">
        <v>882429</v>
      </c>
      <c r="D8" s="4">
        <v>172664</v>
      </c>
      <c r="E8" s="4">
        <v>0.28566312353545087</v>
      </c>
      <c r="H8" s="21" t="s">
        <v>35</v>
      </c>
      <c r="I8" s="4">
        <v>105172</v>
      </c>
    </row>
    <row r="9" spans="3:9" x14ac:dyDescent="0.25">
      <c r="H9" s="21" t="s">
        <v>36</v>
      </c>
      <c r="I9" s="4">
        <v>119315</v>
      </c>
    </row>
    <row r="10" spans="3:9" x14ac:dyDescent="0.25">
      <c r="H10" s="21" t="s">
        <v>37</v>
      </c>
      <c r="I10" s="4">
        <v>128027</v>
      </c>
    </row>
    <row r="11" spans="3:9" x14ac:dyDescent="0.25">
      <c r="C11" s="26" t="s">
        <v>44</v>
      </c>
      <c r="D11" s="26"/>
      <c r="H11" s="21" t="s">
        <v>38</v>
      </c>
      <c r="I11" s="4">
        <v>151907</v>
      </c>
    </row>
    <row r="12" spans="3:9" x14ac:dyDescent="0.25">
      <c r="H12" s="21" t="s">
        <v>39</v>
      </c>
      <c r="I12" s="4">
        <v>179110</v>
      </c>
    </row>
    <row r="13" spans="3:9" x14ac:dyDescent="0.25">
      <c r="C13" s="20" t="s">
        <v>33</v>
      </c>
      <c r="D13" t="s">
        <v>29</v>
      </c>
      <c r="H13" s="21" t="s">
        <v>40</v>
      </c>
      <c r="I13" s="4">
        <v>95809</v>
      </c>
    </row>
    <row r="14" spans="3:9" x14ac:dyDescent="0.25">
      <c r="C14" s="3" t="s">
        <v>22</v>
      </c>
      <c r="D14" s="4">
        <v>319252</v>
      </c>
      <c r="H14" s="21" t="s">
        <v>41</v>
      </c>
      <c r="I14" s="4">
        <v>103089</v>
      </c>
    </row>
    <row r="15" spans="3:9" x14ac:dyDescent="0.25">
      <c r="C15" s="3" t="s">
        <v>21</v>
      </c>
      <c r="D15" s="4">
        <v>215955</v>
      </c>
      <c r="H15" s="21" t="s">
        <v>34</v>
      </c>
      <c r="I15" s="4">
        <v>882429</v>
      </c>
    </row>
    <row r="16" spans="3:9" x14ac:dyDescent="0.25">
      <c r="C16" s="3" t="s">
        <v>23</v>
      </c>
      <c r="D16" s="4">
        <v>347222</v>
      </c>
    </row>
    <row r="17" spans="3:12" x14ac:dyDescent="0.25">
      <c r="C17" s="3" t="s">
        <v>34</v>
      </c>
      <c r="D17" s="4">
        <v>882429</v>
      </c>
    </row>
    <row r="19" spans="3:12" x14ac:dyDescent="0.25">
      <c r="C19" s="26" t="s">
        <v>45</v>
      </c>
      <c r="D19" s="26"/>
      <c r="H19" s="26" t="s">
        <v>47</v>
      </c>
      <c r="I19" s="26"/>
    </row>
    <row r="21" spans="3:12" x14ac:dyDescent="0.25">
      <c r="C21" s="20" t="s">
        <v>33</v>
      </c>
      <c r="D21" t="s">
        <v>29</v>
      </c>
      <c r="H21" s="20" t="s">
        <v>31</v>
      </c>
      <c r="I21" s="20" t="s">
        <v>42</v>
      </c>
    </row>
    <row r="22" spans="3:12" x14ac:dyDescent="0.25">
      <c r="C22" s="3" t="s">
        <v>13</v>
      </c>
      <c r="D22" s="4">
        <v>162305</v>
      </c>
      <c r="H22" s="20" t="s">
        <v>33</v>
      </c>
      <c r="I22" s="2" t="s">
        <v>22</v>
      </c>
      <c r="J22" s="2" t="s">
        <v>21</v>
      </c>
      <c r="K22" s="2" t="s">
        <v>23</v>
      </c>
      <c r="L22" s="2" t="s">
        <v>34</v>
      </c>
    </row>
    <row r="23" spans="3:12" x14ac:dyDescent="0.25">
      <c r="C23" s="3" t="s">
        <v>12</v>
      </c>
      <c r="D23" s="4">
        <v>128205</v>
      </c>
      <c r="H23" s="3" t="s">
        <v>27</v>
      </c>
      <c r="I23" s="4">
        <v>0.22609453125652212</v>
      </c>
      <c r="J23" s="4"/>
      <c r="K23" s="4">
        <v>0.75881797978853083</v>
      </c>
      <c r="L23" s="4">
        <v>0.98491251104505295</v>
      </c>
    </row>
    <row r="24" spans="3:12" x14ac:dyDescent="0.25">
      <c r="C24" s="3" t="s">
        <v>10</v>
      </c>
      <c r="D24" s="4">
        <v>91349</v>
      </c>
      <c r="H24" s="3" t="s">
        <v>24</v>
      </c>
      <c r="I24" s="4">
        <v>0.15532981175758112</v>
      </c>
      <c r="J24" s="4">
        <v>1.2252739433613207</v>
      </c>
      <c r="K24" s="4">
        <v>0.23061514966666233</v>
      </c>
      <c r="L24" s="4">
        <v>1.6112189047855643</v>
      </c>
    </row>
    <row r="25" spans="3:12" x14ac:dyDescent="0.25">
      <c r="C25" s="3" t="s">
        <v>19</v>
      </c>
      <c r="D25" s="4">
        <v>83348</v>
      </c>
      <c r="H25" s="3" t="s">
        <v>25</v>
      </c>
      <c r="I25" s="4">
        <v>2.2622775007897697</v>
      </c>
      <c r="J25" s="4">
        <v>1.1931402967606517</v>
      </c>
      <c r="K25" s="4">
        <v>0.68865518243832313</v>
      </c>
      <c r="L25" s="4">
        <v>4.1440729799887448</v>
      </c>
    </row>
    <row r="26" spans="3:12" x14ac:dyDescent="0.25">
      <c r="C26" s="3" t="s">
        <v>14</v>
      </c>
      <c r="D26" s="4">
        <v>82656</v>
      </c>
      <c r="H26" s="3" t="s">
        <v>26</v>
      </c>
      <c r="I26" s="4">
        <v>0.57616671504094275</v>
      </c>
      <c r="J26" s="4">
        <v>0.45264676566587281</v>
      </c>
      <c r="K26" s="4">
        <v>0.80087582953734837</v>
      </c>
      <c r="L26" s="4">
        <v>1.829689310244164</v>
      </c>
    </row>
    <row r="27" spans="3:12" x14ac:dyDescent="0.25">
      <c r="C27" s="3" t="s">
        <v>34</v>
      </c>
      <c r="D27" s="4">
        <v>547863</v>
      </c>
      <c r="H27" s="3" t="s">
        <v>34</v>
      </c>
      <c r="I27" s="4">
        <v>3.2198685588448157</v>
      </c>
      <c r="J27" s="4">
        <v>2.871061005787845</v>
      </c>
      <c r="K27" s="4">
        <v>2.4789641414308647</v>
      </c>
      <c r="L27" s="4">
        <v>8.5698937060635263</v>
      </c>
    </row>
  </sheetData>
  <mergeCells count="4">
    <mergeCell ref="C11:D11"/>
    <mergeCell ref="C19:D19"/>
    <mergeCell ref="H5:I5"/>
    <mergeCell ref="H19: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O19"/>
  <sheetViews>
    <sheetView showGridLines="0" zoomScale="60" zoomScaleNormal="60" workbookViewId="0">
      <selection activeCell="S21" sqref="S21"/>
    </sheetView>
  </sheetViews>
  <sheetFormatPr defaultRowHeight="15" x14ac:dyDescent="0.25"/>
  <cols>
    <col min="1" max="1" width="3.5703125" customWidth="1"/>
    <col min="2" max="2" width="11.5703125" customWidth="1"/>
    <col min="3" max="3" width="34.85546875" customWidth="1"/>
    <col min="4" max="4" width="32.28515625" customWidth="1"/>
    <col min="5" max="5" width="14.28515625" customWidth="1"/>
    <col min="6" max="6" width="35" customWidth="1"/>
    <col min="8" max="8" width="30.85546875" customWidth="1"/>
    <col min="9" max="9" width="9.140625" customWidth="1"/>
  </cols>
  <sheetData>
    <row r="2" spans="1:15" ht="81" customHeight="1" x14ac:dyDescent="0.25">
      <c r="C2" s="25" t="s">
        <v>43</v>
      </c>
      <c r="D2" s="25"/>
      <c r="E2" s="25"/>
      <c r="F2" s="25"/>
      <c r="G2" s="25"/>
      <c r="H2" s="25"/>
      <c r="I2" s="25"/>
      <c r="J2" s="25"/>
      <c r="K2" s="25"/>
      <c r="L2" s="25"/>
      <c r="M2" s="25"/>
      <c r="N2" s="25"/>
      <c r="O2" s="25"/>
    </row>
    <row r="3" spans="1:15" ht="64.5" customHeight="1" x14ac:dyDescent="0.45">
      <c r="A3" s="22"/>
      <c r="B3" s="22"/>
      <c r="C3" s="22"/>
      <c r="D3" s="23">
        <f>GETPIVOTDATA("Sum of Sales",calculation!$C$7)</f>
        <v>882429</v>
      </c>
      <c r="E3" s="22"/>
      <c r="F3" s="23">
        <f>GETPIVOTDATA("Sum of Profit",calculation!$C$7)</f>
        <v>172664</v>
      </c>
      <c r="G3" s="22"/>
      <c r="H3" s="24">
        <f>GETPIVOTDATA("Average of profit%",calculation!$C$7)</f>
        <v>0.28566312353545087</v>
      </c>
      <c r="I3" s="22"/>
      <c r="J3" s="22"/>
      <c r="K3" s="22"/>
      <c r="L3" s="22"/>
      <c r="M3" s="22"/>
      <c r="N3" s="22"/>
    </row>
    <row r="19" ht="9" customHeight="1" x14ac:dyDescent="0.25"/>
  </sheetData>
  <mergeCells count="1">
    <mergeCell ref="C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calculation</vt:lpstr>
      <vt:lpstr>Sales_Dashboard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dc:creator>
  <cp:lastModifiedBy>User</cp:lastModifiedBy>
  <dcterms:created xsi:type="dcterms:W3CDTF">2025-10-07T20:40:27Z</dcterms:created>
  <dcterms:modified xsi:type="dcterms:W3CDTF">2025-11-10T15:36:17Z</dcterms:modified>
</cp:coreProperties>
</file>